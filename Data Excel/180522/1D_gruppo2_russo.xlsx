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liari\Dropbox\Rationality in Children\Data Excel\180522\"/>
    </mc:Choice>
  </mc:AlternateContent>
  <xr:revisionPtr revIDLastSave="0" documentId="13_ncr:1_{079F3287-28C8-4437-9650-7FD09C43D00C}" xr6:coauthVersionLast="36" xr6:coauthVersionMax="36" xr10:uidLastSave="{00000000-0000-0000-0000-000000000000}"/>
  <bookViews>
    <workbookView xWindow="0" yWindow="0" windowWidth="24390" windowHeight="10665" activeTab="2" xr2:uid="{00000000-000D-0000-FFFF-FFFF00000000}"/>
  </bookViews>
  <sheets>
    <sheet name="Sheet2" sheetId="2" r:id="rId1"/>
    <sheet name="Choices menus" sheetId="1" r:id="rId2"/>
    <sheet name="Utenti bambini" sheetId="6" r:id="rId3"/>
    <sheet name="Utente_eliminato_sostegno" sheetId="5" r:id="rId4"/>
    <sheet name="Logic test" sheetId="3" r:id="rId5"/>
    <sheet name="Slider1" sheetId="4" r:id="rId6"/>
    <sheet name="Slider2" sheetId="7" r:id="rId7"/>
  </sheets>
  <definedNames>
    <definedName name="_xlnm._FilterDatabase" localSheetId="1" hidden="1">'Choices menus'!$A$1:$I$324</definedName>
    <definedName name="_xlnm._FilterDatabase" localSheetId="4" hidden="1">'Logic test'!$A$1:$G$130</definedName>
    <definedName name="_xlnm._FilterDatabase" localSheetId="5" hidden="1">Slider1!$A$1:$K$17</definedName>
    <definedName name="_xlnm._FilterDatabase" localSheetId="6" hidden="1">Slider2!$A$1:$K$17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7" i="7" l="1"/>
  <c r="T17" i="7"/>
  <c r="S17" i="7"/>
  <c r="R17" i="7"/>
  <c r="Q17" i="7"/>
  <c r="P17" i="7"/>
  <c r="O17" i="7"/>
  <c r="N17" i="7"/>
  <c r="U15" i="7"/>
  <c r="T15" i="7"/>
  <c r="S15" i="7"/>
  <c r="R15" i="7"/>
  <c r="Q15" i="7"/>
  <c r="P15" i="7"/>
  <c r="O15" i="7"/>
  <c r="N15" i="7"/>
  <c r="U13" i="7"/>
  <c r="T13" i="7"/>
  <c r="S13" i="7"/>
  <c r="R13" i="7"/>
  <c r="Q13" i="7"/>
  <c r="P13" i="7"/>
  <c r="O13" i="7"/>
  <c r="N13" i="7"/>
  <c r="U11" i="7"/>
  <c r="T11" i="7"/>
  <c r="S11" i="7"/>
  <c r="R11" i="7"/>
  <c r="Q11" i="7"/>
  <c r="P11" i="7"/>
  <c r="O11" i="7"/>
  <c r="N11" i="7"/>
  <c r="U9" i="7"/>
  <c r="T9" i="7"/>
  <c r="S9" i="7"/>
  <c r="R9" i="7"/>
  <c r="Q9" i="7"/>
  <c r="P9" i="7"/>
  <c r="O9" i="7"/>
  <c r="N9" i="7"/>
  <c r="U7" i="7"/>
  <c r="T7" i="7"/>
  <c r="S7" i="7"/>
  <c r="R7" i="7"/>
  <c r="Q7" i="7"/>
  <c r="P7" i="7"/>
  <c r="O7" i="7"/>
  <c r="N7" i="7"/>
  <c r="U5" i="7"/>
  <c r="T5" i="7"/>
  <c r="S5" i="7"/>
  <c r="R5" i="7"/>
  <c r="Q5" i="7"/>
  <c r="P5" i="7"/>
  <c r="O5" i="7"/>
  <c r="N5" i="7"/>
  <c r="U3" i="7"/>
  <c r="T3" i="7"/>
  <c r="S3" i="7"/>
  <c r="R3" i="7"/>
  <c r="Q3" i="7"/>
  <c r="P3" i="7"/>
  <c r="O3" i="7"/>
  <c r="N3" i="7"/>
  <c r="U17" i="4"/>
  <c r="T17" i="4"/>
  <c r="S17" i="4"/>
  <c r="R17" i="4"/>
  <c r="Q17" i="4"/>
  <c r="P17" i="4"/>
  <c r="O17" i="4"/>
  <c r="N17" i="4"/>
  <c r="U15" i="4"/>
  <c r="T15" i="4"/>
  <c r="S15" i="4"/>
  <c r="R15" i="4"/>
  <c r="Q15" i="4"/>
  <c r="P15" i="4"/>
  <c r="O15" i="4"/>
  <c r="N15" i="4"/>
  <c r="U13" i="4"/>
  <c r="T13" i="4"/>
  <c r="S13" i="4"/>
  <c r="R13" i="4"/>
  <c r="Q13" i="4"/>
  <c r="P13" i="4"/>
  <c r="O13" i="4"/>
  <c r="N13" i="4"/>
  <c r="U11" i="4"/>
  <c r="T11" i="4"/>
  <c r="S11" i="4"/>
  <c r="R11" i="4"/>
  <c r="Q11" i="4"/>
  <c r="P11" i="4"/>
  <c r="O11" i="4"/>
  <c r="N11" i="4"/>
  <c r="U9" i="4"/>
  <c r="T9" i="4"/>
  <c r="S9" i="4"/>
  <c r="R9" i="4"/>
  <c r="Q9" i="4"/>
  <c r="P9" i="4"/>
  <c r="O9" i="4"/>
  <c r="N9" i="4"/>
  <c r="U7" i="4"/>
  <c r="T7" i="4"/>
  <c r="S7" i="4"/>
  <c r="R7" i="4"/>
  <c r="Q7" i="4"/>
  <c r="P7" i="4"/>
  <c r="O7" i="4"/>
  <c r="N7" i="4"/>
  <c r="U5" i="4"/>
  <c r="T5" i="4"/>
  <c r="S5" i="4"/>
  <c r="R5" i="4"/>
  <c r="Q5" i="4"/>
  <c r="P5" i="4"/>
  <c r="O5" i="4"/>
  <c r="N5" i="4"/>
  <c r="U3" i="4"/>
  <c r="T3" i="4"/>
  <c r="S3" i="4"/>
  <c r="R3" i="4"/>
  <c r="Q3" i="4"/>
  <c r="P3" i="4"/>
  <c r="O3" i="4"/>
  <c r="N3" i="4"/>
  <c r="R51" i="5" l="1"/>
  <c r="Q51" i="5"/>
  <c r="P51" i="5"/>
  <c r="O51" i="5"/>
  <c r="L51" i="5"/>
  <c r="S51" i="5" s="1"/>
  <c r="R50" i="5"/>
  <c r="Q50" i="5"/>
  <c r="P50" i="5"/>
  <c r="O50" i="5"/>
  <c r="L50" i="5"/>
  <c r="S50" i="5" s="1"/>
  <c r="R48" i="5"/>
  <c r="Q48" i="5"/>
  <c r="P48" i="5"/>
  <c r="O48" i="5"/>
  <c r="L48" i="5"/>
  <c r="S48" i="5" s="1"/>
  <c r="R46" i="5"/>
  <c r="Q46" i="5"/>
  <c r="P46" i="5"/>
  <c r="O46" i="5"/>
  <c r="L46" i="5"/>
  <c r="S46" i="5" s="1"/>
  <c r="R44" i="5"/>
  <c r="Q44" i="5"/>
  <c r="P44" i="5"/>
  <c r="O44" i="5"/>
  <c r="L44" i="5"/>
  <c r="S44" i="5" s="1"/>
  <c r="R42" i="5"/>
  <c r="Q42" i="5"/>
  <c r="P42" i="5"/>
  <c r="O42" i="5"/>
  <c r="L42" i="5"/>
  <c r="S42" i="5" s="1"/>
  <c r="R41" i="5"/>
  <c r="Q41" i="5"/>
  <c r="P41" i="5"/>
  <c r="O41" i="5"/>
  <c r="L41" i="5"/>
  <c r="S41" i="5" s="1"/>
  <c r="R39" i="5"/>
  <c r="Q39" i="5"/>
  <c r="P39" i="5"/>
  <c r="O39" i="5"/>
  <c r="L39" i="5"/>
  <c r="S39" i="5" s="1"/>
  <c r="R37" i="5"/>
  <c r="Q37" i="5"/>
  <c r="P37" i="5"/>
  <c r="O37" i="5"/>
  <c r="L37" i="5"/>
  <c r="S37" i="5" s="1"/>
  <c r="R36" i="5"/>
  <c r="Q36" i="5"/>
  <c r="P36" i="5"/>
  <c r="O36" i="5"/>
  <c r="L36" i="5"/>
  <c r="S36" i="5" s="1"/>
  <c r="R34" i="5"/>
  <c r="Q34" i="5"/>
  <c r="P34" i="5"/>
  <c r="O34" i="5"/>
  <c r="L34" i="5"/>
  <c r="S34" i="5" s="1"/>
  <c r="R32" i="5"/>
  <c r="Q32" i="5"/>
  <c r="P32" i="5"/>
  <c r="O32" i="5"/>
  <c r="L32" i="5"/>
  <c r="S32" i="5" s="1"/>
  <c r="R31" i="5"/>
  <c r="Q31" i="5"/>
  <c r="P31" i="5"/>
  <c r="O31" i="5"/>
  <c r="L31" i="5"/>
  <c r="S31" i="5" s="1"/>
  <c r="R29" i="5"/>
  <c r="Q29" i="5"/>
  <c r="P29" i="5"/>
  <c r="O29" i="5"/>
  <c r="L29" i="5"/>
  <c r="S29" i="5" s="1"/>
  <c r="R28" i="5"/>
  <c r="Q28" i="5"/>
  <c r="P28" i="5"/>
  <c r="O28" i="5"/>
  <c r="L28" i="5"/>
  <c r="S28" i="5" s="1"/>
  <c r="R26" i="5"/>
  <c r="Q26" i="5"/>
  <c r="P26" i="5"/>
  <c r="O26" i="5"/>
  <c r="L26" i="5"/>
  <c r="S26" i="5" s="1"/>
  <c r="R24" i="5"/>
  <c r="Q24" i="5"/>
  <c r="P24" i="5"/>
  <c r="O24" i="5"/>
  <c r="L24" i="5"/>
  <c r="S24" i="5" s="1"/>
  <c r="R23" i="5"/>
  <c r="Q23" i="5"/>
  <c r="P23" i="5"/>
  <c r="O23" i="5"/>
  <c r="L23" i="5"/>
  <c r="S23" i="5" s="1"/>
  <c r="R21" i="5"/>
  <c r="Q21" i="5"/>
  <c r="P21" i="5"/>
  <c r="O21" i="5"/>
  <c r="L21" i="5"/>
  <c r="S21" i="5" s="1"/>
  <c r="R19" i="5"/>
  <c r="Q19" i="5"/>
  <c r="P19" i="5"/>
  <c r="O19" i="5"/>
  <c r="L19" i="5"/>
  <c r="S19" i="5" s="1"/>
  <c r="R17" i="5"/>
  <c r="Q17" i="5"/>
  <c r="P17" i="5"/>
  <c r="O17" i="5"/>
  <c r="L17" i="5"/>
  <c r="S17" i="5" s="1"/>
  <c r="R15" i="5"/>
  <c r="Q15" i="5"/>
  <c r="P15" i="5"/>
  <c r="O15" i="5"/>
  <c r="L15" i="5"/>
  <c r="S15" i="5" s="1"/>
  <c r="R13" i="5"/>
  <c r="Q13" i="5"/>
  <c r="P13" i="5"/>
  <c r="O13" i="5"/>
  <c r="L13" i="5"/>
  <c r="S13" i="5" s="1"/>
  <c r="R11" i="5"/>
  <c r="Q11" i="5"/>
  <c r="P11" i="5"/>
  <c r="O11" i="5"/>
  <c r="L11" i="5"/>
  <c r="S11" i="5" s="1"/>
  <c r="R9" i="5"/>
  <c r="Q9" i="5"/>
  <c r="P9" i="5"/>
  <c r="O9" i="5"/>
  <c r="L9" i="5"/>
  <c r="S9" i="5" s="1"/>
  <c r="R7" i="5"/>
  <c r="Q7" i="5"/>
  <c r="P7" i="5"/>
  <c r="O7" i="5"/>
  <c r="L7" i="5"/>
  <c r="S7" i="5" s="1"/>
  <c r="R5" i="5"/>
  <c r="Q5" i="5"/>
  <c r="P5" i="5"/>
  <c r="O5" i="5"/>
  <c r="L5" i="5"/>
  <c r="S5" i="5" s="1"/>
  <c r="R3" i="5"/>
  <c r="Q3" i="5"/>
  <c r="P3" i="5"/>
  <c r="O3" i="5"/>
  <c r="L3" i="5"/>
  <c r="S3" i="5" s="1"/>
  <c r="S1" i="5"/>
  <c r="R1" i="5"/>
  <c r="Q1" i="5"/>
  <c r="P1" i="5"/>
  <c r="O1" i="5"/>
  <c r="L1" i="5"/>
  <c r="R323" i="1"/>
  <c r="Q323" i="1"/>
  <c r="P323" i="1"/>
  <c r="O323" i="1"/>
  <c r="R321" i="1"/>
  <c r="Q321" i="1"/>
  <c r="P321" i="1"/>
  <c r="O321" i="1"/>
  <c r="R319" i="1"/>
  <c r="Q319" i="1"/>
  <c r="P319" i="1"/>
  <c r="O319" i="1"/>
  <c r="R317" i="1"/>
  <c r="Q317" i="1"/>
  <c r="P317" i="1"/>
  <c r="O317" i="1"/>
  <c r="R315" i="1"/>
  <c r="Q315" i="1"/>
  <c r="P315" i="1"/>
  <c r="O315" i="1"/>
  <c r="R313" i="1"/>
  <c r="Q313" i="1"/>
  <c r="P313" i="1"/>
  <c r="O313" i="1"/>
  <c r="R311" i="1"/>
  <c r="Q311" i="1"/>
  <c r="P311" i="1"/>
  <c r="O311" i="1"/>
  <c r="R309" i="1"/>
  <c r="Q309" i="1"/>
  <c r="P309" i="1"/>
  <c r="O309" i="1"/>
  <c r="R307" i="1"/>
  <c r="Q307" i="1"/>
  <c r="P307" i="1"/>
  <c r="O307" i="1"/>
  <c r="R305" i="1"/>
  <c r="Q305" i="1"/>
  <c r="P305" i="1"/>
  <c r="O305" i="1"/>
  <c r="R303" i="1"/>
  <c r="Q303" i="1"/>
  <c r="P303" i="1"/>
  <c r="O303" i="1"/>
  <c r="R301" i="1"/>
  <c r="Q301" i="1"/>
  <c r="P301" i="1"/>
  <c r="O301" i="1"/>
  <c r="R299" i="1"/>
  <c r="Q299" i="1"/>
  <c r="P299" i="1"/>
  <c r="O299" i="1"/>
  <c r="R297" i="1"/>
  <c r="Q297" i="1"/>
  <c r="P297" i="1"/>
  <c r="O297" i="1"/>
  <c r="R295" i="1"/>
  <c r="Q295" i="1"/>
  <c r="P295" i="1"/>
  <c r="O295" i="1"/>
  <c r="R293" i="1"/>
  <c r="Q293" i="1"/>
  <c r="P293" i="1"/>
  <c r="O293" i="1"/>
  <c r="R291" i="1"/>
  <c r="Q291" i="1"/>
  <c r="P291" i="1"/>
  <c r="O291" i="1"/>
  <c r="R289" i="1"/>
  <c r="Q289" i="1"/>
  <c r="P289" i="1"/>
  <c r="O289" i="1"/>
  <c r="R287" i="1"/>
  <c r="Q287" i="1"/>
  <c r="P287" i="1"/>
  <c r="O287" i="1"/>
  <c r="R285" i="1"/>
  <c r="Q285" i="1"/>
  <c r="P285" i="1"/>
  <c r="O285" i="1"/>
  <c r="R283" i="1"/>
  <c r="Q283" i="1"/>
  <c r="P283" i="1"/>
  <c r="O283" i="1"/>
  <c r="R281" i="1"/>
  <c r="Q281" i="1"/>
  <c r="P281" i="1"/>
  <c r="O281" i="1"/>
  <c r="R279" i="1"/>
  <c r="Q279" i="1"/>
  <c r="P279" i="1"/>
  <c r="O279" i="1"/>
  <c r="R277" i="1"/>
  <c r="Q277" i="1"/>
  <c r="P277" i="1"/>
  <c r="O277" i="1"/>
  <c r="R275" i="1"/>
  <c r="Q275" i="1"/>
  <c r="P275" i="1"/>
  <c r="O275" i="1"/>
  <c r="R273" i="1"/>
  <c r="Q273" i="1"/>
  <c r="P273" i="1"/>
  <c r="O273" i="1"/>
  <c r="R271" i="1"/>
  <c r="Q271" i="1"/>
  <c r="P271" i="1"/>
  <c r="O271" i="1"/>
  <c r="R269" i="1"/>
  <c r="Q269" i="1"/>
  <c r="P269" i="1"/>
  <c r="O269" i="1"/>
  <c r="R267" i="1"/>
  <c r="Q267" i="1"/>
  <c r="P267" i="1"/>
  <c r="O267" i="1"/>
  <c r="R265" i="1"/>
  <c r="Q265" i="1"/>
  <c r="P265" i="1"/>
  <c r="O265" i="1"/>
  <c r="R263" i="1"/>
  <c r="Q263" i="1"/>
  <c r="P263" i="1"/>
  <c r="O263" i="1"/>
  <c r="R261" i="1"/>
  <c r="Q261" i="1"/>
  <c r="P261" i="1"/>
  <c r="O261" i="1"/>
  <c r="R259" i="1"/>
  <c r="Q259" i="1"/>
  <c r="P259" i="1"/>
  <c r="O259" i="1"/>
  <c r="R257" i="1"/>
  <c r="Q257" i="1"/>
  <c r="P257" i="1"/>
  <c r="O257" i="1"/>
  <c r="R255" i="1"/>
  <c r="Q255" i="1"/>
  <c r="P255" i="1"/>
  <c r="O255" i="1"/>
  <c r="R253" i="1"/>
  <c r="Q253" i="1"/>
  <c r="P253" i="1"/>
  <c r="O253" i="1"/>
  <c r="R251" i="1"/>
  <c r="Q251" i="1"/>
  <c r="P251" i="1"/>
  <c r="O251" i="1"/>
  <c r="R249" i="1"/>
  <c r="Q249" i="1"/>
  <c r="P249" i="1"/>
  <c r="O249" i="1"/>
  <c r="R247" i="1"/>
  <c r="Q247" i="1"/>
  <c r="P247" i="1"/>
  <c r="O247" i="1"/>
  <c r="R245" i="1"/>
  <c r="Q245" i="1"/>
  <c r="P245" i="1"/>
  <c r="O245" i="1"/>
  <c r="R243" i="1"/>
  <c r="Q243" i="1"/>
  <c r="P243" i="1"/>
  <c r="O243" i="1"/>
  <c r="R241" i="1"/>
  <c r="Q241" i="1"/>
  <c r="P241" i="1"/>
  <c r="O241" i="1"/>
  <c r="R239" i="1"/>
  <c r="Q239" i="1"/>
  <c r="P239" i="1"/>
  <c r="O239" i="1"/>
  <c r="R237" i="1"/>
  <c r="Q237" i="1"/>
  <c r="P237" i="1"/>
  <c r="O237" i="1"/>
  <c r="R235" i="1"/>
  <c r="Q235" i="1"/>
  <c r="P235" i="1"/>
  <c r="O235" i="1"/>
  <c r="R233" i="1"/>
  <c r="Q233" i="1"/>
  <c r="P233" i="1"/>
  <c r="O233" i="1"/>
  <c r="R231" i="1"/>
  <c r="Q231" i="1"/>
  <c r="P231" i="1"/>
  <c r="O231" i="1"/>
  <c r="R229" i="1"/>
  <c r="Q229" i="1"/>
  <c r="P229" i="1"/>
  <c r="O229" i="1"/>
  <c r="R227" i="1"/>
  <c r="Q227" i="1"/>
  <c r="P227" i="1"/>
  <c r="O227" i="1"/>
  <c r="R225" i="1"/>
  <c r="Q225" i="1"/>
  <c r="P225" i="1"/>
  <c r="O225" i="1"/>
  <c r="R223" i="1"/>
  <c r="Q223" i="1"/>
  <c r="P223" i="1"/>
  <c r="O223" i="1"/>
  <c r="R221" i="1"/>
  <c r="Q221" i="1"/>
  <c r="P221" i="1"/>
  <c r="O221" i="1"/>
  <c r="R219" i="1"/>
  <c r="Q219" i="1"/>
  <c r="P219" i="1"/>
  <c r="O219" i="1"/>
  <c r="R217" i="1"/>
  <c r="Q217" i="1"/>
  <c r="P217" i="1"/>
  <c r="O217" i="1"/>
  <c r="R215" i="1"/>
  <c r="Q215" i="1"/>
  <c r="P215" i="1"/>
  <c r="O215" i="1"/>
  <c r="R213" i="1"/>
  <c r="Q213" i="1"/>
  <c r="P213" i="1"/>
  <c r="O213" i="1"/>
  <c r="R211" i="1"/>
  <c r="Q211" i="1"/>
  <c r="P211" i="1"/>
  <c r="O211" i="1"/>
  <c r="R209" i="1"/>
  <c r="Q209" i="1"/>
  <c r="P209" i="1"/>
  <c r="O209" i="1"/>
  <c r="R207" i="1"/>
  <c r="Q207" i="1"/>
  <c r="P207" i="1"/>
  <c r="O207" i="1"/>
  <c r="R205" i="1"/>
  <c r="Q205" i="1"/>
  <c r="P205" i="1"/>
  <c r="O205" i="1"/>
  <c r="R203" i="1"/>
  <c r="Q203" i="1"/>
  <c r="P203" i="1"/>
  <c r="O203" i="1"/>
  <c r="R201" i="1"/>
  <c r="Q201" i="1"/>
  <c r="P201" i="1"/>
  <c r="O201" i="1"/>
  <c r="R199" i="1"/>
  <c r="Q199" i="1"/>
  <c r="P199" i="1"/>
  <c r="O199" i="1"/>
  <c r="R197" i="1"/>
  <c r="Q197" i="1"/>
  <c r="P197" i="1"/>
  <c r="O197" i="1"/>
  <c r="R195" i="1"/>
  <c r="Q195" i="1"/>
  <c r="P195" i="1"/>
  <c r="O195" i="1"/>
  <c r="R193" i="1"/>
  <c r="Q193" i="1"/>
  <c r="P193" i="1"/>
  <c r="O193" i="1"/>
  <c r="R191" i="1"/>
  <c r="Q191" i="1"/>
  <c r="P191" i="1"/>
  <c r="O191" i="1"/>
  <c r="R189" i="1"/>
  <c r="Q189" i="1"/>
  <c r="P189" i="1"/>
  <c r="O189" i="1"/>
  <c r="R187" i="1"/>
  <c r="Q187" i="1"/>
  <c r="P187" i="1"/>
  <c r="O187" i="1"/>
  <c r="R185" i="1"/>
  <c r="Q185" i="1"/>
  <c r="P185" i="1"/>
  <c r="O185" i="1"/>
  <c r="R183" i="1"/>
  <c r="Q183" i="1"/>
  <c r="P183" i="1"/>
  <c r="O183" i="1"/>
  <c r="R181" i="1"/>
  <c r="Q181" i="1"/>
  <c r="P181" i="1"/>
  <c r="O181" i="1"/>
  <c r="R179" i="1"/>
  <c r="Q179" i="1"/>
  <c r="P179" i="1"/>
  <c r="O179" i="1"/>
  <c r="R177" i="1"/>
  <c r="Q177" i="1"/>
  <c r="P177" i="1"/>
  <c r="O177" i="1"/>
  <c r="R175" i="1"/>
  <c r="Q175" i="1"/>
  <c r="P175" i="1"/>
  <c r="O175" i="1"/>
  <c r="R173" i="1"/>
  <c r="Q173" i="1"/>
  <c r="P173" i="1"/>
  <c r="O173" i="1"/>
  <c r="R171" i="1"/>
  <c r="Q171" i="1"/>
  <c r="P171" i="1"/>
  <c r="O171" i="1"/>
  <c r="R169" i="1"/>
  <c r="Q169" i="1"/>
  <c r="P169" i="1"/>
  <c r="O169" i="1"/>
  <c r="R167" i="1"/>
  <c r="Q167" i="1"/>
  <c r="P167" i="1"/>
  <c r="O167" i="1"/>
  <c r="R165" i="1"/>
  <c r="Q165" i="1"/>
  <c r="P165" i="1"/>
  <c r="O165" i="1"/>
  <c r="R163" i="1"/>
  <c r="Q163" i="1"/>
  <c r="P163" i="1"/>
  <c r="O163" i="1"/>
  <c r="R161" i="1"/>
  <c r="Q161" i="1"/>
  <c r="P161" i="1"/>
  <c r="O161" i="1"/>
  <c r="R159" i="1"/>
  <c r="Q159" i="1"/>
  <c r="P159" i="1"/>
  <c r="O159" i="1"/>
  <c r="R157" i="1"/>
  <c r="Q157" i="1"/>
  <c r="P157" i="1"/>
  <c r="O157" i="1"/>
  <c r="R155" i="1"/>
  <c r="Q155" i="1"/>
  <c r="P155" i="1"/>
  <c r="O155" i="1"/>
  <c r="R153" i="1"/>
  <c r="Q153" i="1"/>
  <c r="P153" i="1"/>
  <c r="O153" i="1"/>
  <c r="R151" i="1"/>
  <c r="Q151" i="1"/>
  <c r="P151" i="1"/>
  <c r="O151" i="1"/>
  <c r="R149" i="1"/>
  <c r="Q149" i="1"/>
  <c r="P149" i="1"/>
  <c r="O149" i="1"/>
  <c r="R147" i="1"/>
  <c r="Q147" i="1"/>
  <c r="P147" i="1"/>
  <c r="O147" i="1"/>
  <c r="R145" i="1"/>
  <c r="Q145" i="1"/>
  <c r="P145" i="1"/>
  <c r="O145" i="1"/>
  <c r="R143" i="1"/>
  <c r="Q143" i="1"/>
  <c r="P143" i="1"/>
  <c r="O143" i="1"/>
  <c r="R141" i="1"/>
  <c r="Q141" i="1"/>
  <c r="P141" i="1"/>
  <c r="O141" i="1"/>
  <c r="R139" i="1"/>
  <c r="Q139" i="1"/>
  <c r="P139" i="1"/>
  <c r="O139" i="1"/>
  <c r="R137" i="1"/>
  <c r="Q137" i="1"/>
  <c r="P137" i="1"/>
  <c r="O137" i="1"/>
  <c r="R135" i="1"/>
  <c r="Q135" i="1"/>
  <c r="P135" i="1"/>
  <c r="O135" i="1"/>
  <c r="R133" i="1"/>
  <c r="Q133" i="1"/>
  <c r="P133" i="1"/>
  <c r="O133" i="1"/>
  <c r="R131" i="1"/>
  <c r="Q131" i="1"/>
  <c r="P131" i="1"/>
  <c r="O131" i="1"/>
  <c r="R129" i="1"/>
  <c r="Q129" i="1"/>
  <c r="P129" i="1"/>
  <c r="O129" i="1"/>
  <c r="R127" i="1"/>
  <c r="Q127" i="1"/>
  <c r="P127" i="1"/>
  <c r="O127" i="1"/>
  <c r="R125" i="1"/>
  <c r="Q125" i="1"/>
  <c r="P125" i="1"/>
  <c r="O125" i="1"/>
  <c r="R123" i="1"/>
  <c r="Q123" i="1"/>
  <c r="P123" i="1"/>
  <c r="O123" i="1"/>
  <c r="R121" i="1"/>
  <c r="Q121" i="1"/>
  <c r="P121" i="1"/>
  <c r="O121" i="1"/>
  <c r="R119" i="1"/>
  <c r="Q119" i="1"/>
  <c r="P119" i="1"/>
  <c r="O119" i="1"/>
  <c r="R117" i="1"/>
  <c r="Q117" i="1"/>
  <c r="P117" i="1"/>
  <c r="O117" i="1"/>
  <c r="R115" i="1"/>
  <c r="Q115" i="1"/>
  <c r="P115" i="1"/>
  <c r="O115" i="1"/>
  <c r="R113" i="1"/>
  <c r="Q113" i="1"/>
  <c r="P113" i="1"/>
  <c r="O113" i="1"/>
  <c r="R111" i="1"/>
  <c r="Q111" i="1"/>
  <c r="P111" i="1"/>
  <c r="O111" i="1"/>
  <c r="R109" i="1"/>
  <c r="Q109" i="1"/>
  <c r="P109" i="1"/>
  <c r="O109" i="1"/>
  <c r="R107" i="1"/>
  <c r="Q107" i="1"/>
  <c r="P107" i="1"/>
  <c r="O107" i="1"/>
  <c r="R105" i="1"/>
  <c r="Q105" i="1"/>
  <c r="P105" i="1"/>
  <c r="O105" i="1"/>
  <c r="R103" i="1"/>
  <c r="Q103" i="1"/>
  <c r="P103" i="1"/>
  <c r="O103" i="1"/>
  <c r="R101" i="1"/>
  <c r="Q101" i="1"/>
  <c r="P101" i="1"/>
  <c r="O101" i="1"/>
  <c r="R99" i="1"/>
  <c r="Q99" i="1"/>
  <c r="P99" i="1"/>
  <c r="O99" i="1"/>
  <c r="R97" i="1"/>
  <c r="Q97" i="1"/>
  <c r="P97" i="1"/>
  <c r="O97" i="1"/>
  <c r="R95" i="1"/>
  <c r="Q95" i="1"/>
  <c r="P95" i="1"/>
  <c r="O95" i="1"/>
  <c r="R93" i="1"/>
  <c r="Q93" i="1"/>
  <c r="P93" i="1"/>
  <c r="O93" i="1"/>
  <c r="R91" i="1"/>
  <c r="Q91" i="1"/>
  <c r="P91" i="1"/>
  <c r="O91" i="1"/>
  <c r="R89" i="1"/>
  <c r="Q89" i="1"/>
  <c r="P89" i="1"/>
  <c r="O89" i="1"/>
  <c r="R87" i="1"/>
  <c r="Q87" i="1"/>
  <c r="P87" i="1"/>
  <c r="O87" i="1"/>
  <c r="R85" i="1"/>
  <c r="Q85" i="1"/>
  <c r="P85" i="1"/>
  <c r="O85" i="1"/>
  <c r="R83" i="1"/>
  <c r="Q83" i="1"/>
  <c r="P83" i="1"/>
  <c r="O83" i="1"/>
  <c r="R81" i="1"/>
  <c r="Q81" i="1"/>
  <c r="P81" i="1"/>
  <c r="O81" i="1"/>
  <c r="R79" i="1"/>
  <c r="Q79" i="1"/>
  <c r="P79" i="1"/>
  <c r="O79" i="1"/>
  <c r="R77" i="1"/>
  <c r="Q77" i="1"/>
  <c r="P77" i="1"/>
  <c r="O77" i="1"/>
  <c r="R75" i="1"/>
  <c r="Q75" i="1"/>
  <c r="P75" i="1"/>
  <c r="O75" i="1"/>
  <c r="R73" i="1"/>
  <c r="Q73" i="1"/>
  <c r="P73" i="1"/>
  <c r="O73" i="1"/>
  <c r="R71" i="1"/>
  <c r="Q71" i="1"/>
  <c r="P71" i="1"/>
  <c r="O71" i="1"/>
  <c r="R69" i="1"/>
  <c r="Q69" i="1"/>
  <c r="P69" i="1"/>
  <c r="O69" i="1"/>
  <c r="R67" i="1"/>
  <c r="Q67" i="1"/>
  <c r="P67" i="1"/>
  <c r="O67" i="1"/>
  <c r="R65" i="1"/>
  <c r="Q65" i="1"/>
  <c r="P65" i="1"/>
  <c r="O65" i="1"/>
  <c r="R63" i="1"/>
  <c r="Q63" i="1"/>
  <c r="P63" i="1"/>
  <c r="O63" i="1"/>
  <c r="R61" i="1"/>
  <c r="Q61" i="1"/>
  <c r="P61" i="1"/>
  <c r="O61" i="1"/>
  <c r="R59" i="1"/>
  <c r="Q59" i="1"/>
  <c r="P59" i="1"/>
  <c r="O59" i="1"/>
  <c r="R57" i="1"/>
  <c r="Q57" i="1"/>
  <c r="P57" i="1"/>
  <c r="O57" i="1"/>
  <c r="R55" i="1"/>
  <c r="Q55" i="1"/>
  <c r="P55" i="1"/>
  <c r="O55" i="1"/>
  <c r="R53" i="1"/>
  <c r="Q53" i="1"/>
  <c r="P53" i="1"/>
  <c r="O53" i="1"/>
  <c r="R51" i="1"/>
  <c r="Q51" i="1"/>
  <c r="P51" i="1"/>
  <c r="O51" i="1"/>
  <c r="R49" i="1"/>
  <c r="Q49" i="1"/>
  <c r="P49" i="1"/>
  <c r="O49" i="1"/>
  <c r="R47" i="1"/>
  <c r="Q47" i="1"/>
  <c r="P47" i="1"/>
  <c r="O47" i="1"/>
  <c r="R45" i="1"/>
  <c r="Q45" i="1"/>
  <c r="P45" i="1"/>
  <c r="O45" i="1"/>
  <c r="R43" i="1"/>
  <c r="Q43" i="1"/>
  <c r="P43" i="1"/>
  <c r="O43" i="1"/>
  <c r="R41" i="1"/>
  <c r="Q41" i="1"/>
  <c r="P41" i="1"/>
  <c r="O41" i="1"/>
  <c r="R39" i="1"/>
  <c r="Q39" i="1"/>
  <c r="P39" i="1"/>
  <c r="O39" i="1"/>
  <c r="R37" i="1"/>
  <c r="Q37" i="1"/>
  <c r="P37" i="1"/>
  <c r="O37" i="1"/>
  <c r="R35" i="1"/>
  <c r="Q35" i="1"/>
  <c r="P35" i="1"/>
  <c r="O35" i="1"/>
  <c r="R33" i="1"/>
  <c r="Q33" i="1"/>
  <c r="P33" i="1"/>
  <c r="O33" i="1"/>
  <c r="R31" i="1"/>
  <c r="Q31" i="1"/>
  <c r="P31" i="1"/>
  <c r="O31" i="1"/>
  <c r="R29" i="1"/>
  <c r="Q29" i="1"/>
  <c r="P29" i="1"/>
  <c r="O29" i="1"/>
  <c r="R27" i="1"/>
  <c r="Q27" i="1"/>
  <c r="P27" i="1"/>
  <c r="O27" i="1"/>
  <c r="R25" i="1"/>
  <c r="Q25" i="1"/>
  <c r="P25" i="1"/>
  <c r="O25" i="1"/>
  <c r="R23" i="1"/>
  <c r="Q23" i="1"/>
  <c r="P23" i="1"/>
  <c r="O23" i="1"/>
  <c r="R21" i="1"/>
  <c r="Q21" i="1"/>
  <c r="P21" i="1"/>
  <c r="O21" i="1"/>
  <c r="R19" i="1"/>
  <c r="Q19" i="1"/>
  <c r="P19" i="1"/>
  <c r="O19" i="1"/>
  <c r="R17" i="1"/>
  <c r="Q17" i="1"/>
  <c r="P17" i="1"/>
  <c r="O17" i="1"/>
  <c r="R15" i="1"/>
  <c r="Q15" i="1"/>
  <c r="P15" i="1"/>
  <c r="O15" i="1"/>
  <c r="R13" i="1"/>
  <c r="Q13" i="1"/>
  <c r="P13" i="1"/>
  <c r="O13" i="1"/>
  <c r="R11" i="1"/>
  <c r="Q11" i="1"/>
  <c r="P11" i="1"/>
  <c r="O11" i="1"/>
  <c r="R9" i="1"/>
  <c r="Q9" i="1"/>
  <c r="P9" i="1"/>
  <c r="O9" i="1"/>
  <c r="R7" i="1"/>
  <c r="Q7" i="1"/>
  <c r="P7" i="1"/>
  <c r="O7" i="1"/>
  <c r="R5" i="1"/>
  <c r="Q5" i="1"/>
  <c r="P5" i="1"/>
  <c r="O5" i="1"/>
  <c r="R3" i="1"/>
  <c r="Q3" i="1"/>
  <c r="P3" i="1"/>
  <c r="O3" i="1"/>
  <c r="K16" i="2" l="1"/>
  <c r="L324" i="1"/>
  <c r="L323" i="1"/>
  <c r="S323" i="1" s="1"/>
  <c r="L321" i="1"/>
  <c r="S321" i="1" s="1"/>
  <c r="L319" i="1"/>
  <c r="S319" i="1" s="1"/>
  <c r="L317" i="1"/>
  <c r="S317" i="1" s="1"/>
  <c r="L315" i="1"/>
  <c r="S315" i="1" s="1"/>
  <c r="L313" i="1"/>
  <c r="S313" i="1" s="1"/>
  <c r="L311" i="1"/>
  <c r="S311" i="1" s="1"/>
  <c r="L309" i="1"/>
  <c r="S309" i="1" s="1"/>
  <c r="L307" i="1"/>
  <c r="S307" i="1" s="1"/>
  <c r="L305" i="1"/>
  <c r="S305" i="1" s="1"/>
  <c r="L303" i="1"/>
  <c r="S303" i="1" s="1"/>
  <c r="L301" i="1"/>
  <c r="S301" i="1" s="1"/>
  <c r="L299" i="1"/>
  <c r="S299" i="1" s="1"/>
  <c r="L297" i="1"/>
  <c r="S297" i="1" s="1"/>
  <c r="L295" i="1"/>
  <c r="S295" i="1" s="1"/>
  <c r="L293" i="1"/>
  <c r="S293" i="1" s="1"/>
  <c r="L291" i="1"/>
  <c r="S291" i="1" s="1"/>
  <c r="L289" i="1"/>
  <c r="S289" i="1" s="1"/>
  <c r="L287" i="1"/>
  <c r="S287" i="1" s="1"/>
  <c r="L285" i="1"/>
  <c r="S285" i="1" s="1"/>
  <c r="L283" i="1"/>
  <c r="S283" i="1" s="1"/>
  <c r="L281" i="1"/>
  <c r="S281" i="1" s="1"/>
  <c r="L279" i="1"/>
  <c r="S279" i="1" s="1"/>
  <c r="L277" i="1"/>
  <c r="S277" i="1" s="1"/>
  <c r="L275" i="1"/>
  <c r="S275" i="1" s="1"/>
  <c r="L273" i="1"/>
  <c r="S273" i="1" s="1"/>
  <c r="L271" i="1"/>
  <c r="S271" i="1" s="1"/>
  <c r="L269" i="1"/>
  <c r="S269" i="1" s="1"/>
  <c r="L267" i="1"/>
  <c r="S267" i="1" s="1"/>
  <c r="L265" i="1"/>
  <c r="S265" i="1" s="1"/>
  <c r="L263" i="1"/>
  <c r="S263" i="1" s="1"/>
  <c r="L261" i="1"/>
  <c r="S261" i="1" s="1"/>
  <c r="L259" i="1"/>
  <c r="S259" i="1" s="1"/>
  <c r="L257" i="1"/>
  <c r="S257" i="1" s="1"/>
  <c r="L255" i="1"/>
  <c r="S255" i="1" s="1"/>
  <c r="L253" i="1"/>
  <c r="S253" i="1" s="1"/>
  <c r="L251" i="1"/>
  <c r="S251" i="1" s="1"/>
  <c r="L249" i="1"/>
  <c r="S249" i="1" s="1"/>
  <c r="L247" i="1"/>
  <c r="S247" i="1" s="1"/>
  <c r="L245" i="1"/>
  <c r="S245" i="1" s="1"/>
  <c r="L243" i="1"/>
  <c r="S243" i="1" s="1"/>
  <c r="L241" i="1"/>
  <c r="S241" i="1" s="1"/>
  <c r="L239" i="1"/>
  <c r="S239" i="1" s="1"/>
  <c r="L237" i="1"/>
  <c r="S237" i="1" s="1"/>
  <c r="L235" i="1"/>
  <c r="S235" i="1" s="1"/>
  <c r="L233" i="1"/>
  <c r="S233" i="1" s="1"/>
  <c r="L231" i="1"/>
  <c r="S231" i="1" s="1"/>
  <c r="L229" i="1"/>
  <c r="S229" i="1" s="1"/>
  <c r="L227" i="1"/>
  <c r="S227" i="1" s="1"/>
  <c r="L225" i="1"/>
  <c r="S225" i="1" s="1"/>
  <c r="L223" i="1"/>
  <c r="S223" i="1" s="1"/>
  <c r="L221" i="1"/>
  <c r="S221" i="1" s="1"/>
  <c r="L219" i="1"/>
  <c r="S219" i="1" s="1"/>
  <c r="L217" i="1"/>
  <c r="S217" i="1" s="1"/>
  <c r="L215" i="1"/>
  <c r="S215" i="1" s="1"/>
  <c r="L213" i="1"/>
  <c r="S213" i="1" s="1"/>
  <c r="L211" i="1"/>
  <c r="S211" i="1" s="1"/>
  <c r="L209" i="1"/>
  <c r="S209" i="1" s="1"/>
  <c r="L207" i="1"/>
  <c r="S207" i="1" s="1"/>
  <c r="L205" i="1"/>
  <c r="S205" i="1" s="1"/>
  <c r="L203" i="1"/>
  <c r="S203" i="1" s="1"/>
  <c r="L201" i="1"/>
  <c r="S201" i="1" s="1"/>
  <c r="L199" i="1"/>
  <c r="S199" i="1" s="1"/>
  <c r="L197" i="1"/>
  <c r="S197" i="1" s="1"/>
  <c r="L195" i="1"/>
  <c r="S195" i="1" s="1"/>
  <c r="L193" i="1"/>
  <c r="S193" i="1" s="1"/>
  <c r="L191" i="1"/>
  <c r="S191" i="1" s="1"/>
  <c r="L189" i="1"/>
  <c r="S189" i="1" s="1"/>
  <c r="L187" i="1"/>
  <c r="S187" i="1" s="1"/>
  <c r="L185" i="1"/>
  <c r="S185" i="1" s="1"/>
  <c r="L183" i="1"/>
  <c r="S183" i="1" s="1"/>
  <c r="L181" i="1"/>
  <c r="S181" i="1" s="1"/>
  <c r="L179" i="1"/>
  <c r="S179" i="1" s="1"/>
  <c r="L177" i="1"/>
  <c r="S177" i="1" s="1"/>
  <c r="L175" i="1"/>
  <c r="S175" i="1" s="1"/>
  <c r="L173" i="1"/>
  <c r="S173" i="1" s="1"/>
  <c r="L171" i="1"/>
  <c r="S171" i="1" s="1"/>
  <c r="L169" i="1"/>
  <c r="S169" i="1" s="1"/>
  <c r="L167" i="1"/>
  <c r="S167" i="1" s="1"/>
  <c r="L165" i="1"/>
  <c r="S165" i="1" s="1"/>
  <c r="L163" i="1"/>
  <c r="S163" i="1" s="1"/>
  <c r="L161" i="1"/>
  <c r="S161" i="1" s="1"/>
  <c r="L159" i="1"/>
  <c r="S159" i="1" s="1"/>
  <c r="L157" i="1"/>
  <c r="S157" i="1" s="1"/>
  <c r="L155" i="1"/>
  <c r="S155" i="1" s="1"/>
  <c r="L153" i="1"/>
  <c r="S153" i="1" s="1"/>
  <c r="L151" i="1"/>
  <c r="S151" i="1" s="1"/>
  <c r="L149" i="1"/>
  <c r="S149" i="1" s="1"/>
  <c r="L147" i="1"/>
  <c r="S147" i="1" s="1"/>
  <c r="L145" i="1"/>
  <c r="S145" i="1" s="1"/>
  <c r="L143" i="1"/>
  <c r="S143" i="1" s="1"/>
  <c r="L141" i="1"/>
  <c r="S141" i="1" s="1"/>
  <c r="L139" i="1"/>
  <c r="S139" i="1" s="1"/>
  <c r="L137" i="1"/>
  <c r="S137" i="1" s="1"/>
  <c r="L135" i="1"/>
  <c r="S135" i="1" s="1"/>
  <c r="L133" i="1"/>
  <c r="S133" i="1" s="1"/>
  <c r="L131" i="1"/>
  <c r="S131" i="1" s="1"/>
  <c r="L129" i="1"/>
  <c r="S129" i="1" s="1"/>
  <c r="L127" i="1"/>
  <c r="S127" i="1" s="1"/>
  <c r="L125" i="1"/>
  <c r="S125" i="1" s="1"/>
  <c r="L123" i="1"/>
  <c r="S123" i="1" s="1"/>
  <c r="L121" i="1"/>
  <c r="S121" i="1" s="1"/>
  <c r="L119" i="1"/>
  <c r="S119" i="1" s="1"/>
  <c r="L117" i="1"/>
  <c r="S117" i="1" s="1"/>
  <c r="L115" i="1"/>
  <c r="S115" i="1" s="1"/>
  <c r="L113" i="1"/>
  <c r="S113" i="1" s="1"/>
  <c r="L111" i="1"/>
  <c r="S111" i="1" s="1"/>
  <c r="L109" i="1"/>
  <c r="S109" i="1" s="1"/>
  <c r="L107" i="1"/>
  <c r="S107" i="1" s="1"/>
  <c r="L105" i="1"/>
  <c r="S105" i="1" s="1"/>
  <c r="L103" i="1"/>
  <c r="S103" i="1" s="1"/>
  <c r="L101" i="1"/>
  <c r="S101" i="1" s="1"/>
  <c r="L99" i="1"/>
  <c r="S99" i="1" s="1"/>
  <c r="L97" i="1"/>
  <c r="S97" i="1" s="1"/>
  <c r="L95" i="1"/>
  <c r="S95" i="1" s="1"/>
  <c r="L93" i="1"/>
  <c r="S93" i="1" s="1"/>
  <c r="L91" i="1"/>
  <c r="S91" i="1" s="1"/>
  <c r="L89" i="1"/>
  <c r="S89" i="1" s="1"/>
  <c r="L87" i="1"/>
  <c r="S87" i="1" s="1"/>
  <c r="L85" i="1"/>
  <c r="S85" i="1" s="1"/>
  <c r="L83" i="1"/>
  <c r="S83" i="1" s="1"/>
  <c r="L81" i="1"/>
  <c r="S81" i="1" s="1"/>
  <c r="L79" i="1"/>
  <c r="S79" i="1" s="1"/>
  <c r="L77" i="1"/>
  <c r="S77" i="1" s="1"/>
  <c r="L75" i="1"/>
  <c r="S75" i="1" s="1"/>
  <c r="L73" i="1"/>
  <c r="S73" i="1" s="1"/>
  <c r="L71" i="1"/>
  <c r="S71" i="1" s="1"/>
  <c r="L69" i="1"/>
  <c r="S69" i="1" s="1"/>
  <c r="L67" i="1"/>
  <c r="S67" i="1" s="1"/>
  <c r="L65" i="1"/>
  <c r="S65" i="1" s="1"/>
  <c r="L63" i="1"/>
  <c r="S63" i="1" s="1"/>
  <c r="L61" i="1"/>
  <c r="S61" i="1" s="1"/>
  <c r="L59" i="1"/>
  <c r="S59" i="1" s="1"/>
  <c r="L57" i="1"/>
  <c r="S57" i="1" s="1"/>
  <c r="L55" i="1"/>
  <c r="S55" i="1" s="1"/>
  <c r="L53" i="1"/>
  <c r="S53" i="1" s="1"/>
  <c r="L51" i="1"/>
  <c r="S51" i="1" s="1"/>
  <c r="L49" i="1"/>
  <c r="S49" i="1" s="1"/>
  <c r="L47" i="1"/>
  <c r="S47" i="1" s="1"/>
  <c r="L45" i="1"/>
  <c r="S45" i="1" s="1"/>
  <c r="L43" i="1"/>
  <c r="S43" i="1" s="1"/>
  <c r="L41" i="1"/>
  <c r="S41" i="1" s="1"/>
  <c r="L39" i="1"/>
  <c r="S39" i="1" s="1"/>
  <c r="L37" i="1"/>
  <c r="S37" i="1" s="1"/>
  <c r="L35" i="1"/>
  <c r="S35" i="1" s="1"/>
  <c r="L33" i="1"/>
  <c r="S33" i="1" s="1"/>
  <c r="L31" i="1"/>
  <c r="S31" i="1" s="1"/>
  <c r="L29" i="1"/>
  <c r="S29" i="1" s="1"/>
  <c r="L27" i="1"/>
  <c r="S27" i="1" s="1"/>
  <c r="L25" i="1"/>
  <c r="S25" i="1" s="1"/>
  <c r="L23" i="1"/>
  <c r="S23" i="1" s="1"/>
  <c r="L21" i="1"/>
  <c r="S21" i="1" s="1"/>
  <c r="L19" i="1"/>
  <c r="S19" i="1" s="1"/>
  <c r="L17" i="1"/>
  <c r="S17" i="1" s="1"/>
  <c r="L15" i="1"/>
  <c r="S15" i="1" s="1"/>
  <c r="L13" i="1"/>
  <c r="S13" i="1" s="1"/>
  <c r="L11" i="1"/>
  <c r="S11" i="1" s="1"/>
  <c r="L9" i="1"/>
  <c r="S9" i="1" s="1"/>
  <c r="L7" i="1"/>
  <c r="S7" i="1" s="1"/>
  <c r="L5" i="1"/>
  <c r="S5" i="1" s="1"/>
  <c r="L3" i="1"/>
  <c r="S3" i="1" s="1"/>
</calcChain>
</file>

<file path=xl/sharedStrings.xml><?xml version="1.0" encoding="utf-8"?>
<sst xmlns="http://schemas.openxmlformats.org/spreadsheetml/2006/main" count="682" uniqueCount="77">
  <si>
    <t>id</t>
  </si>
  <si>
    <t>id_utente</t>
  </si>
  <si>
    <t>tipo_test</t>
  </si>
  <si>
    <t>choice</t>
  </si>
  <si>
    <t>menu1</t>
  </si>
  <si>
    <t>menu2</t>
  </si>
  <si>
    <t>menu3</t>
  </si>
  <si>
    <t>menu4</t>
  </si>
  <si>
    <t>Alternatives</t>
  </si>
  <si>
    <t>green_pen.jpg</t>
  </si>
  <si>
    <t>blue_pen.jpg</t>
  </si>
  <si>
    <t>red_pen.jpg</t>
  </si>
  <si>
    <t xml:space="preserve"> green_pen.jpg</t>
  </si>
  <si>
    <t>yellow_pen.jpg</t>
  </si>
  <si>
    <t>blue_pencil.jpg</t>
  </si>
  <si>
    <t>orange_pencil.jpg</t>
  </si>
  <si>
    <t>red_pencil.jpg</t>
  </si>
  <si>
    <t>yellow_pencil.jpg</t>
  </si>
  <si>
    <t>pen4.jpg</t>
  </si>
  <si>
    <t>pen2.jpg</t>
  </si>
  <si>
    <t>pen3.jpg</t>
  </si>
  <si>
    <t>pen1.jpg</t>
  </si>
  <si>
    <t>Row Labels</t>
  </si>
  <si>
    <t>Grand Total</t>
  </si>
  <si>
    <t>Column Labels</t>
  </si>
  <si>
    <t>Count of Alternatives</t>
  </si>
  <si>
    <t>(Multiple Items)</t>
  </si>
  <si>
    <t>{"blue_pencil.jpg":4,"orange_pencil.jpg":4,"red_pencil.jpg":4,"yellow_pencil.jpg":4}</t>
  </si>
  <si>
    <t>{"blue_pen.jpg":5,"green_pen.jpg":4,"red_pen.jpg":4,"yellow_pen.jpg":3}</t>
  </si>
  <si>
    <t>{"yellow_pencil.jpg":5,"red_pencil.jpg":5,"orange_pencil.jpg":3,"blue_pencil.jpg":3}</t>
  </si>
  <si>
    <t>{"red_pen.jpg":5,"blue_pen.jpg":4,"green_pen.jpg":3,"yellow_pen.jpg":4}</t>
  </si>
  <si>
    <t>{"blue_pencil.jpg":1,"orange_pencil.jpg":1,"red_pencil.jpg":5,"yellow_pencil.jpg":5}</t>
  </si>
  <si>
    <t>{"blue_pen.jpg":5,"green_pen.jpg":5,"red_pen.jpg":4,"yellow_pen.jpg":5}</t>
  </si>
  <si>
    <t>{"blue_pencil.jpg":5,"orange_pencil.jpg":4,"red_pencil.jpg":3,"yellow_pencil.jpg":5}</t>
  </si>
  <si>
    <t>{"blue_pen.jpg":3,"green_pen.jpg":2,"red_pen.jpg":4,"yellow_pen.jpg":5}</t>
  </si>
  <si>
    <t>{"blue_pen.jpg":4,"green_pen.jpg":4,"red_pen.jpg":4,"yellow_pen.jpg":4}</t>
  </si>
  <si>
    <t>{"blue_pencil.jpg":5,"orange_pencil.jpg":4,"red_pencil.jpg":3,"yellow_pencil.jpg":3}</t>
  </si>
  <si>
    <t>{"yellow_pen.jpg":5,"red_pen.jpg":4,"green_pen.jpg":4,"blue_pen.jpg":4}</t>
  </si>
  <si>
    <t>{"orange_pencil.jpg":5,"yellow_pencil.jpg":4,"blue_pencil.jpg":3,"red_pencil.jpg":3}</t>
  </si>
  <si>
    <t>{"blue_pen.jpg":5,"green_pen.jpg":5,"red_pen.jpg":5,"yellow_pen.jpg":5}</t>
  </si>
  <si>
    <t>{"red_pencil.jpg":5,"blue_pencil.jpg":5,"orange_pencil.jpg":2,"yellow_pencil.jpg":4}</t>
  </si>
  <si>
    <t>{"red_pen.jpg":5,"blue_pen.jpg":4,"green_pen.jpg":4,"yellow_pen.jpg":5}</t>
  </si>
  <si>
    <t>{"blue_pencil.jpg":3,"orange_pencil.jpg":3,"red_pencil.jpg":4,"yellow_pencil.jpg":5}</t>
  </si>
  <si>
    <t xml:space="preserve">                                                                                                     </t>
  </si>
  <si>
    <t>logic_test</t>
  </si>
  <si>
    <t>risultato</t>
  </si>
  <si>
    <t>insert</t>
  </si>
  <si>
    <t>date</t>
  </si>
  <si>
    <t>test</t>
  </si>
  <si>
    <t>menu</t>
  </si>
  <si>
    <t>Menu1</t>
  </si>
  <si>
    <t>Menu2</t>
  </si>
  <si>
    <t>Menu3</t>
  </si>
  <si>
    <t>Menu4</t>
  </si>
  <si>
    <t>Choice</t>
  </si>
  <si>
    <t>nome</t>
  </si>
  <si>
    <t>cognome</t>
  </si>
  <si>
    <t>scuola</t>
  </si>
  <si>
    <t>classe</t>
  </si>
  <si>
    <t>peso</t>
  </si>
  <si>
    <t>altezza</t>
  </si>
  <si>
    <t>sesso</t>
  </si>
  <si>
    <t>insert_date</t>
  </si>
  <si>
    <t xml:space="preserve">Maria Claudia Russo </t>
  </si>
  <si>
    <t>1D</t>
  </si>
  <si>
    <t>M</t>
  </si>
  <si>
    <t>F</t>
  </si>
  <si>
    <t>sostegno</t>
  </si>
  <si>
    <t>russo</t>
  </si>
  <si>
    <t>alt_1</t>
  </si>
  <si>
    <t>vot_1</t>
  </si>
  <si>
    <t>alt_2</t>
  </si>
  <si>
    <t>vot_2</t>
  </si>
  <si>
    <t>alt_3</t>
  </si>
  <si>
    <t>vot_3</t>
  </si>
  <si>
    <t>alt_4</t>
  </si>
  <si>
    <t>vot_4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</si>
</sst>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2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e Caliari" refreshedDate="44699.687998611109" createdVersion="6" refreshedVersion="6" minRefreshableVersion="3" recordCount="381" xr:uid="{00000000-000A-0000-FFFF-FFFF07000000}">
  <cacheSource type="worksheet">
    <worksheetSource ref="A1:L1048576" sheet="Choices menus"/>
  </cacheSource>
  <cacheFields count="10">
    <cacheField name="id" numFmtId="0">
      <sharedItems containsString="0" containsBlank="1" containsNumber="1" containsInteger="1" minValue="1" maxValue="379"/>
    </cacheField>
    <cacheField name="id_utente" numFmtId="0">
      <sharedItems containsString="0" containsBlank="1" containsNumber="1" containsInteger="1" minValue="1" maxValue="12" count="9">
        <n v="1"/>
        <n v="2"/>
        <n v="3"/>
        <n v="4"/>
        <n v="5"/>
        <n v="6"/>
        <n v="7"/>
        <n v="12"/>
        <m/>
      </sharedItems>
    </cacheField>
    <cacheField name="tipo_test" numFmtId="0">
      <sharedItems containsString="0" containsBlank="1" containsNumber="1" containsInteger="1" minValue="0" maxValue="2" count="4">
        <n v="0"/>
        <n v="1"/>
        <n v="2"/>
        <m/>
      </sharedItems>
    </cacheField>
    <cacheField name="choice" numFmtId="0">
      <sharedItems containsString="0" containsBlank="1" containsNumber="1" containsInteger="1" minValue="0" maxValue="3"/>
    </cacheField>
    <cacheField name="insert_date" numFmtId="0">
      <sharedItems containsNonDate="0" containsDate="1" containsString="0" containsBlank="1" minDate="2022-05-18T09:51:15" maxDate="2022-05-18T10:00:14"/>
    </cacheField>
    <cacheField name="menu1" numFmtId="0">
      <sharedItems containsBlank="1"/>
    </cacheField>
    <cacheField name="menu2" numFmtId="0">
      <sharedItems containsBlank="1"/>
    </cacheField>
    <cacheField name="menu3" numFmtId="0">
      <sharedItems containsBlank="1"/>
    </cacheField>
    <cacheField name="menu4" numFmtId="0">
      <sharedItems containsBlank="1"/>
    </cacheField>
    <cacheField name="Alternatives" numFmtId="0">
      <sharedItems containsBlank="1" containsMixedTypes="1" containsNumber="1" containsInteger="1" minValue="0" maxValue="0" count="13">
        <m/>
        <s v="green_pen.jpg"/>
        <s v="blue_pen.jpg"/>
        <s v="red_pen.jpg"/>
        <s v="yellow_pen.jpg"/>
        <s v="yellow_pencil.jpg"/>
        <s v="blue_pencil.jpg"/>
        <s v="red_pencil.jpg"/>
        <s v="orange_pencil.jpg"/>
        <s v="pen3.jpg"/>
        <s v="pen4.jpg"/>
        <s v="pen1.jpg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1">
  <r>
    <n v="1"/>
    <x v="0"/>
    <x v="0"/>
    <m/>
    <d v="2022-05-18T09:51:15"/>
    <m/>
    <m/>
    <m/>
    <m/>
    <x v="0"/>
  </r>
  <r>
    <n v="7"/>
    <x v="0"/>
    <x v="0"/>
    <n v="1"/>
    <d v="2022-05-18T09:51:34"/>
    <s v="green_pen.jpg"/>
    <s v="yellow_pen.jpg"/>
    <s v="blue_pen.jpg"/>
    <m/>
    <x v="1"/>
  </r>
  <r>
    <n v="11"/>
    <x v="0"/>
    <x v="0"/>
    <m/>
    <d v="2022-05-18T09:51:43"/>
    <m/>
    <m/>
    <m/>
    <m/>
    <x v="0"/>
  </r>
  <r>
    <n v="17"/>
    <x v="0"/>
    <x v="0"/>
    <n v="0"/>
    <d v="2022-05-18T09:51:50"/>
    <s v="blue_pen.jpg"/>
    <s v="yellow_pen.jpg"/>
    <m/>
    <m/>
    <x v="2"/>
  </r>
  <r>
    <n v="21"/>
    <x v="0"/>
    <x v="0"/>
    <m/>
    <d v="2022-05-18T09:52:00"/>
    <m/>
    <m/>
    <m/>
    <m/>
    <x v="0"/>
  </r>
  <r>
    <n v="25"/>
    <x v="0"/>
    <x v="0"/>
    <n v="1"/>
    <d v="2022-05-18T09:52:05"/>
    <s v="blue_pen.jpg"/>
    <s v="red_pen.jpg"/>
    <s v="yellow_pen.jpg"/>
    <m/>
    <x v="2"/>
  </r>
  <r>
    <n v="33"/>
    <x v="0"/>
    <x v="0"/>
    <m/>
    <d v="2022-05-18T09:52:13"/>
    <m/>
    <m/>
    <m/>
    <m/>
    <x v="0"/>
  </r>
  <r>
    <n v="40"/>
    <x v="0"/>
    <x v="0"/>
    <n v="1"/>
    <d v="2022-05-18T09:52:20"/>
    <s v="red_pen.jpg"/>
    <s v=" green_pen.jpg"/>
    <m/>
    <m/>
    <x v="3"/>
  </r>
  <r>
    <n v="48"/>
    <x v="0"/>
    <x v="0"/>
    <m/>
    <d v="2022-05-18T09:52:32"/>
    <m/>
    <m/>
    <m/>
    <m/>
    <x v="0"/>
  </r>
  <r>
    <n v="53"/>
    <x v="0"/>
    <x v="0"/>
    <n v="1"/>
    <d v="2022-05-18T09:52:38"/>
    <s v="blue_pen.jpg"/>
    <s v=" green_pen.jpg"/>
    <s v="red_pen.jpg"/>
    <m/>
    <x v="2"/>
  </r>
  <r>
    <n v="62"/>
    <x v="0"/>
    <x v="0"/>
    <m/>
    <d v="2022-05-18T09:52:49"/>
    <m/>
    <m/>
    <m/>
    <m/>
    <x v="0"/>
  </r>
  <r>
    <n v="63"/>
    <x v="0"/>
    <x v="0"/>
    <n v="0"/>
    <d v="2022-05-18T09:52:52"/>
    <s v="red_pen.jpg"/>
    <s v="yellow_pen.jpg"/>
    <m/>
    <m/>
    <x v="3"/>
  </r>
  <r>
    <n v="77"/>
    <x v="0"/>
    <x v="0"/>
    <m/>
    <d v="2022-05-18T09:53:04"/>
    <m/>
    <m/>
    <m/>
    <m/>
    <x v="0"/>
  </r>
  <r>
    <n v="78"/>
    <x v="0"/>
    <x v="0"/>
    <n v="0"/>
    <d v="2022-05-18T09:53:07"/>
    <s v="green_pen.jpg"/>
    <s v="yellow_pen.jpg"/>
    <m/>
    <m/>
    <x v="1"/>
  </r>
  <r>
    <n v="88"/>
    <x v="0"/>
    <x v="0"/>
    <m/>
    <d v="2022-05-18T09:53:16"/>
    <m/>
    <m/>
    <m/>
    <m/>
    <x v="0"/>
  </r>
  <r>
    <n v="93"/>
    <x v="0"/>
    <x v="0"/>
    <n v="1"/>
    <d v="2022-05-18T09:53:20"/>
    <s v="yellow_pen.jpg"/>
    <s v="blue_pen.jpg"/>
    <s v=" green_pen.jpg"/>
    <s v="red_pen.jpg"/>
    <x v="4"/>
  </r>
  <r>
    <n v="101"/>
    <x v="0"/>
    <x v="0"/>
    <m/>
    <d v="2022-05-18T09:53:29"/>
    <m/>
    <m/>
    <m/>
    <m/>
    <x v="0"/>
  </r>
  <r>
    <n v="105"/>
    <x v="0"/>
    <x v="0"/>
    <n v="2"/>
    <d v="2022-05-18T09:53:31"/>
    <s v="yellow_pen.jpg"/>
    <s v="red_pen.jpg"/>
    <s v=" green_pen.jpg"/>
    <m/>
    <x v="4"/>
  </r>
  <r>
    <n v="113"/>
    <x v="0"/>
    <x v="0"/>
    <m/>
    <d v="2022-05-18T09:53:40"/>
    <m/>
    <m/>
    <m/>
    <m/>
    <x v="0"/>
  </r>
  <r>
    <n v="118"/>
    <x v="0"/>
    <x v="0"/>
    <n v="1"/>
    <d v="2022-05-18T09:53:46"/>
    <s v="green_pen.jpg"/>
    <s v="blue_pen.jpg"/>
    <m/>
    <m/>
    <x v="1"/>
  </r>
  <r>
    <n v="129"/>
    <x v="0"/>
    <x v="0"/>
    <m/>
    <d v="2022-05-18T09:53:56"/>
    <m/>
    <m/>
    <m/>
    <m/>
    <x v="0"/>
  </r>
  <r>
    <n v="132"/>
    <x v="0"/>
    <x v="0"/>
    <n v="0"/>
    <d v="2022-05-18T09:53:59"/>
    <s v="blue_pen.jpg"/>
    <s v="red_pen.jpg"/>
    <m/>
    <m/>
    <x v="2"/>
  </r>
  <r>
    <n v="142"/>
    <x v="0"/>
    <x v="1"/>
    <m/>
    <d v="2022-05-18T09:54:08"/>
    <m/>
    <m/>
    <m/>
    <m/>
    <x v="0"/>
  </r>
  <r>
    <n v="146"/>
    <x v="0"/>
    <x v="1"/>
    <n v="0"/>
    <d v="2022-05-18T09:54:12"/>
    <s v="blue_pencil.jpg"/>
    <s v="yellow_pencil.jpg"/>
    <m/>
    <m/>
    <x v="5"/>
  </r>
  <r>
    <n v="148"/>
    <x v="0"/>
    <x v="1"/>
    <n v="0"/>
    <d v="2022-05-18T09:54:14"/>
    <s v="blue_pencil.jpg"/>
    <s v="yellow_pencil.jpg"/>
    <m/>
    <m/>
    <x v="5"/>
  </r>
  <r>
    <n v="160"/>
    <x v="0"/>
    <x v="1"/>
    <m/>
    <d v="2022-05-18T09:54:23"/>
    <m/>
    <m/>
    <m/>
    <m/>
    <x v="0"/>
  </r>
  <r>
    <n v="161"/>
    <x v="0"/>
    <x v="1"/>
    <n v="1"/>
    <d v="2022-05-18T09:54:26"/>
    <s v="orange_pencil.jpg"/>
    <s v="yellow_pencil.jpg"/>
    <s v="red_pencil.jpg"/>
    <m/>
    <x v="5"/>
  </r>
  <r>
    <n v="171"/>
    <x v="0"/>
    <x v="1"/>
    <m/>
    <d v="2022-05-18T09:54:36"/>
    <m/>
    <m/>
    <m/>
    <m/>
    <x v="0"/>
  </r>
  <r>
    <n v="173"/>
    <x v="0"/>
    <x v="1"/>
    <n v="1"/>
    <d v="2022-05-18T09:54:39"/>
    <s v="orange_pencil.jpg"/>
    <s v="blue_pencil.jpg"/>
    <m/>
    <m/>
    <x v="6"/>
  </r>
  <r>
    <n v="179"/>
    <x v="0"/>
    <x v="1"/>
    <n v="0"/>
    <d v="2022-05-18T09:54:42"/>
    <s v="orange_pencil.jpg"/>
    <s v="blue_pencil.jpg"/>
    <m/>
    <m/>
    <x v="6"/>
  </r>
  <r>
    <n v="188"/>
    <x v="0"/>
    <x v="1"/>
    <m/>
    <d v="2022-05-18T09:54:52"/>
    <m/>
    <m/>
    <m/>
    <m/>
    <x v="0"/>
  </r>
  <r>
    <n v="197"/>
    <x v="0"/>
    <x v="1"/>
    <n v="1"/>
    <d v="2022-05-18T09:54:59"/>
    <s v="red_pencil.jpg"/>
    <s v="yellow_pencil.jpg"/>
    <m/>
    <m/>
    <x v="5"/>
  </r>
  <r>
    <n v="200"/>
    <x v="0"/>
    <x v="1"/>
    <n v="0"/>
    <d v="2022-05-18T09:55:01"/>
    <s v="red_pencil.jpg"/>
    <s v="yellow_pencil.jpg"/>
    <m/>
    <m/>
    <x v="5"/>
  </r>
  <r>
    <n v="206"/>
    <x v="0"/>
    <x v="1"/>
    <m/>
    <d v="2022-05-18T09:55:08"/>
    <m/>
    <m/>
    <m/>
    <m/>
    <x v="0"/>
  </r>
  <r>
    <n v="210"/>
    <x v="0"/>
    <x v="1"/>
    <n v="0"/>
    <d v="2022-05-18T09:55:11"/>
    <s v="red_pencil.jpg"/>
    <s v="blue_pencil.jpg"/>
    <s v="orange_pencil.jpg"/>
    <m/>
    <x v="6"/>
  </r>
  <r>
    <n v="222"/>
    <x v="0"/>
    <x v="1"/>
    <m/>
    <d v="2022-05-18T09:55:21"/>
    <m/>
    <m/>
    <m/>
    <m/>
    <x v="0"/>
  </r>
  <r>
    <n v="230"/>
    <x v="0"/>
    <x v="1"/>
    <n v="0"/>
    <d v="2022-05-18T09:55:28"/>
    <s v="blue_pencil.jpg"/>
    <s v="red_pencil.jpg"/>
    <m/>
    <m/>
    <x v="7"/>
  </r>
  <r>
    <n v="231"/>
    <x v="0"/>
    <x v="1"/>
    <n v="1"/>
    <d v="2022-05-18T09:55:29"/>
    <s v="blue_pencil.jpg"/>
    <s v="red_pencil.jpg"/>
    <m/>
    <m/>
    <x v="7"/>
  </r>
  <r>
    <n v="240"/>
    <x v="0"/>
    <x v="1"/>
    <m/>
    <d v="2022-05-18T09:55:39"/>
    <m/>
    <m/>
    <m/>
    <m/>
    <x v="0"/>
  </r>
  <r>
    <n v="247"/>
    <x v="0"/>
    <x v="1"/>
    <n v="1"/>
    <d v="2022-05-18T09:55:43"/>
    <s v="orange_pencil.jpg"/>
    <s v="red_pencil.jpg"/>
    <m/>
    <m/>
    <x v="7"/>
  </r>
  <r>
    <n v="253"/>
    <x v="0"/>
    <x v="1"/>
    <m/>
    <d v="2022-05-18T09:55:54"/>
    <m/>
    <m/>
    <m/>
    <m/>
    <x v="0"/>
  </r>
  <r>
    <n v="262"/>
    <x v="0"/>
    <x v="1"/>
    <n v="1"/>
    <d v="2022-05-18T09:55:59"/>
    <s v="red_pencil.jpg"/>
    <s v="yellow_pencil.jpg"/>
    <s v="blue_pencil.jpg"/>
    <m/>
    <x v="5"/>
  </r>
  <r>
    <n v="263"/>
    <x v="0"/>
    <x v="1"/>
    <n v="2"/>
    <d v="2022-05-18T09:56:03"/>
    <s v="red_pencil.jpg"/>
    <s v="yellow_pencil.jpg"/>
    <s v="blue_pencil.jpg"/>
    <m/>
    <x v="5"/>
  </r>
  <r>
    <n v="276"/>
    <x v="0"/>
    <x v="1"/>
    <m/>
    <d v="2022-05-18T09:56:13"/>
    <m/>
    <m/>
    <m/>
    <m/>
    <x v="0"/>
  </r>
  <r>
    <n v="278"/>
    <x v="0"/>
    <x v="1"/>
    <n v="0"/>
    <d v="2022-05-18T09:56:16"/>
    <s v="yellow_pencil.jpg"/>
    <s v="orange_pencil.jpg"/>
    <s v="blue_pencil.jpg"/>
    <m/>
    <x v="8"/>
  </r>
  <r>
    <n v="290"/>
    <x v="0"/>
    <x v="1"/>
    <m/>
    <d v="2022-05-18T09:56:28"/>
    <m/>
    <m/>
    <m/>
    <m/>
    <x v="0"/>
  </r>
  <r>
    <n v="295"/>
    <x v="0"/>
    <x v="1"/>
    <n v="2"/>
    <d v="2022-05-18T09:56:34"/>
    <s v="yellow_pencil.jpg"/>
    <s v="blue_pencil.jpg"/>
    <s v="orange_pencil.jpg"/>
    <s v="red_pencil.jpg"/>
    <x v="6"/>
  </r>
  <r>
    <n v="307"/>
    <x v="0"/>
    <x v="1"/>
    <m/>
    <d v="2022-05-18T09:56:44"/>
    <m/>
    <m/>
    <m/>
    <m/>
    <x v="0"/>
  </r>
  <r>
    <n v="310"/>
    <x v="0"/>
    <x v="1"/>
    <n v="1"/>
    <d v="2022-05-18T09:56:48"/>
    <s v="orange_pencil.jpg"/>
    <s v="yellow_pencil.jpg"/>
    <m/>
    <m/>
    <x v="5"/>
  </r>
  <r>
    <n v="317"/>
    <x v="0"/>
    <x v="2"/>
    <m/>
    <d v="2022-05-18T09:56:57"/>
    <m/>
    <m/>
    <m/>
    <m/>
    <x v="0"/>
  </r>
  <r>
    <n v="324"/>
    <x v="0"/>
    <x v="2"/>
    <n v="0"/>
    <d v="2022-05-18T09:57:00"/>
    <s v="pen4.jpg"/>
    <s v="pen1.jpg"/>
    <s v="pen3.jpg"/>
    <s v="pen2.jpg"/>
    <x v="9"/>
  </r>
  <r>
    <n v="327"/>
    <x v="0"/>
    <x v="2"/>
    <n v="1"/>
    <d v="2022-05-18T09:57:04"/>
    <s v="pen4.jpg"/>
    <s v="pen1.jpg"/>
    <s v="pen3.jpg"/>
    <s v="pen2.jpg"/>
    <x v="9"/>
  </r>
  <r>
    <n v="2"/>
    <x v="1"/>
    <x v="0"/>
    <m/>
    <d v="2022-05-18T09:51:17"/>
    <m/>
    <m/>
    <m/>
    <m/>
    <x v="0"/>
  </r>
  <r>
    <n v="8"/>
    <x v="1"/>
    <x v="0"/>
    <n v="0"/>
    <d v="2022-05-18T09:51:38"/>
    <s v="orange_pencil.jpg"/>
    <s v="yellow_pencil.jpg"/>
    <m/>
    <m/>
    <x v="8"/>
  </r>
  <r>
    <n v="14"/>
    <x v="1"/>
    <x v="0"/>
    <m/>
    <d v="2022-05-18T09:51:48"/>
    <m/>
    <m/>
    <m/>
    <m/>
    <x v="0"/>
  </r>
  <r>
    <n v="20"/>
    <x v="1"/>
    <x v="0"/>
    <n v="2"/>
    <d v="2022-05-18T09:51:58"/>
    <s v="red_pencil.jpg"/>
    <s v="yellow_pencil.jpg"/>
    <s v="orange_pencil.jpg"/>
    <m/>
    <x v="7"/>
  </r>
  <r>
    <n v="28"/>
    <x v="1"/>
    <x v="0"/>
    <m/>
    <d v="2022-05-18T09:52:08"/>
    <m/>
    <m/>
    <m/>
    <m/>
    <x v="0"/>
  </r>
  <r>
    <n v="31"/>
    <x v="1"/>
    <x v="0"/>
    <n v="2"/>
    <d v="2022-05-18T09:52:11"/>
    <s v="yellow_pencil.jpg"/>
    <s v="orange_pencil.jpg"/>
    <s v="blue_pencil.jpg"/>
    <m/>
    <x v="5"/>
  </r>
  <r>
    <n v="38"/>
    <x v="1"/>
    <x v="0"/>
    <m/>
    <d v="2022-05-18T09:52:19"/>
    <m/>
    <m/>
    <m/>
    <m/>
    <x v="0"/>
  </r>
  <r>
    <n v="42"/>
    <x v="1"/>
    <x v="0"/>
    <n v="3"/>
    <d v="2022-05-18T09:52:22"/>
    <s v="yellow_pencil.jpg"/>
    <s v="orange_pencil.jpg"/>
    <s v="red_pencil.jpg"/>
    <s v="blue_pencil.jpg"/>
    <x v="5"/>
  </r>
  <r>
    <n v="49"/>
    <x v="1"/>
    <x v="0"/>
    <m/>
    <d v="2022-05-18T09:52:33"/>
    <m/>
    <m/>
    <m/>
    <m/>
    <x v="0"/>
  </r>
  <r>
    <n v="55"/>
    <x v="1"/>
    <x v="0"/>
    <n v="1"/>
    <d v="2022-05-18T09:52:44"/>
    <s v="yellow_pencil.jpg"/>
    <s v="red_pencil.jpg"/>
    <m/>
    <m/>
    <x v="5"/>
  </r>
  <r>
    <n v="65"/>
    <x v="1"/>
    <x v="0"/>
    <m/>
    <d v="2022-05-18T09:52:54"/>
    <m/>
    <m/>
    <m/>
    <m/>
    <x v="0"/>
  </r>
  <r>
    <n v="71"/>
    <x v="1"/>
    <x v="0"/>
    <n v="0"/>
    <d v="2022-05-18T09:52:57"/>
    <s v="blue_pencil.jpg"/>
    <s v="yellow_pencil.jpg"/>
    <s v="red_pencil.jpg"/>
    <m/>
    <x v="6"/>
  </r>
  <r>
    <n v="79"/>
    <x v="1"/>
    <x v="0"/>
    <m/>
    <d v="2022-05-18T09:53:07"/>
    <m/>
    <m/>
    <m/>
    <m/>
    <x v="0"/>
  </r>
  <r>
    <n v="83"/>
    <x v="1"/>
    <x v="0"/>
    <n v="1"/>
    <d v="2022-05-18T09:53:10"/>
    <s v="orange_pencil.jpg"/>
    <s v="blue_pencil.jpg"/>
    <m/>
    <m/>
    <x v="8"/>
  </r>
  <r>
    <n v="92"/>
    <x v="1"/>
    <x v="0"/>
    <m/>
    <d v="2022-05-18T09:53:19"/>
    <m/>
    <m/>
    <m/>
    <m/>
    <x v="0"/>
  </r>
  <r>
    <n v="94"/>
    <x v="1"/>
    <x v="0"/>
    <n v="0"/>
    <d v="2022-05-18T09:53:22"/>
    <s v="blue_pencil.jpg"/>
    <s v="red_pencil.jpg"/>
    <m/>
    <m/>
    <x v="6"/>
  </r>
  <r>
    <n v="104"/>
    <x v="1"/>
    <x v="0"/>
    <m/>
    <d v="2022-05-18T09:53:31"/>
    <m/>
    <m/>
    <m/>
    <m/>
    <x v="0"/>
  </r>
  <r>
    <n v="108"/>
    <x v="1"/>
    <x v="0"/>
    <n v="1"/>
    <d v="2022-05-18T09:53:35"/>
    <s v="red_pencil.jpg"/>
    <s v="blue_pencil.jpg"/>
    <s v="orange_pencil.jpg"/>
    <m/>
    <x v="7"/>
  </r>
  <r>
    <n v="115"/>
    <x v="1"/>
    <x v="0"/>
    <m/>
    <d v="2022-05-18T09:53:43"/>
    <m/>
    <m/>
    <m/>
    <m/>
    <x v="0"/>
  </r>
  <r>
    <n v="121"/>
    <x v="1"/>
    <x v="0"/>
    <n v="0"/>
    <d v="2022-05-18T09:53:48"/>
    <s v="orange_pencil.jpg"/>
    <s v="red_pencil.jpg"/>
    <m/>
    <m/>
    <x v="8"/>
  </r>
  <r>
    <n v="130"/>
    <x v="1"/>
    <x v="0"/>
    <m/>
    <d v="2022-05-18T09:53:58"/>
    <m/>
    <m/>
    <m/>
    <m/>
    <x v="0"/>
  </r>
  <r>
    <n v="136"/>
    <x v="1"/>
    <x v="0"/>
    <n v="1"/>
    <d v="2022-05-18T09:54:03"/>
    <s v="yellow_pencil.jpg"/>
    <s v="blue_pencil.jpg"/>
    <m/>
    <m/>
    <x v="5"/>
  </r>
  <r>
    <n v="147"/>
    <x v="1"/>
    <x v="1"/>
    <m/>
    <d v="2022-05-18T09:54:12"/>
    <m/>
    <m/>
    <m/>
    <m/>
    <x v="0"/>
  </r>
  <r>
    <n v="154"/>
    <x v="1"/>
    <x v="1"/>
    <n v="1"/>
    <d v="2022-05-18T09:54:19"/>
    <s v="green_pen.jpg"/>
    <s v="blue_pen.jpg"/>
    <s v="yellow_pen.jpg"/>
    <m/>
    <x v="2"/>
  </r>
  <r>
    <n v="162"/>
    <x v="1"/>
    <x v="1"/>
    <m/>
    <d v="2022-05-18T09:54:28"/>
    <m/>
    <m/>
    <m/>
    <m/>
    <x v="0"/>
  </r>
  <r>
    <n v="166"/>
    <x v="1"/>
    <x v="1"/>
    <n v="1"/>
    <d v="2022-05-18T09:54:30"/>
    <s v="green_pen.jpg"/>
    <s v="blue_pen.jpg"/>
    <m/>
    <m/>
    <x v="2"/>
  </r>
  <r>
    <n v="174"/>
    <x v="1"/>
    <x v="1"/>
    <m/>
    <d v="2022-05-18T09:54:39"/>
    <m/>
    <m/>
    <m/>
    <m/>
    <x v="0"/>
  </r>
  <r>
    <n v="181"/>
    <x v="1"/>
    <x v="1"/>
    <n v="1"/>
    <d v="2022-05-18T09:54:43"/>
    <s v="red_pen.jpg"/>
    <s v="blue_pen.jpg"/>
    <s v="yellow_pen.jpg"/>
    <m/>
    <x v="2"/>
  </r>
  <r>
    <n v="191"/>
    <x v="1"/>
    <x v="1"/>
    <m/>
    <d v="2022-05-18T09:54:53"/>
    <m/>
    <m/>
    <m/>
    <m/>
    <x v="0"/>
  </r>
  <r>
    <n v="192"/>
    <x v="1"/>
    <x v="1"/>
    <n v="1"/>
    <d v="2022-05-18T09:54:56"/>
    <s v="yellow_pen.jpg"/>
    <s v="blue_pen.jpg"/>
    <m/>
    <m/>
    <x v="2"/>
  </r>
  <r>
    <n v="203"/>
    <x v="1"/>
    <x v="1"/>
    <m/>
    <d v="2022-05-18T09:55:04"/>
    <m/>
    <m/>
    <m/>
    <m/>
    <x v="0"/>
  </r>
  <r>
    <n v="205"/>
    <x v="1"/>
    <x v="1"/>
    <n v="1"/>
    <d v="2022-05-18T09:55:07"/>
    <s v="yellow_pen.jpg"/>
    <s v="green_pen.jpg"/>
    <m/>
    <m/>
    <x v="1"/>
  </r>
  <r>
    <n v="218"/>
    <x v="1"/>
    <x v="1"/>
    <m/>
    <d v="2022-05-18T09:55:17"/>
    <m/>
    <m/>
    <m/>
    <m/>
    <x v="0"/>
  </r>
  <r>
    <n v="221"/>
    <x v="1"/>
    <x v="1"/>
    <n v="1"/>
    <d v="2022-05-18T09:55:20"/>
    <s v="red_pen.jpg"/>
    <s v="blue_pen.jpg"/>
    <s v="yellow_pen.jpg"/>
    <s v="green_pen.jpg"/>
    <x v="2"/>
  </r>
  <r>
    <n v="234"/>
    <x v="1"/>
    <x v="1"/>
    <m/>
    <d v="2022-05-18T09:55:30"/>
    <m/>
    <m/>
    <m/>
    <m/>
    <x v="0"/>
  </r>
  <r>
    <n v="246"/>
    <x v="1"/>
    <x v="1"/>
    <n v="0"/>
    <d v="2022-05-18T09:55:43"/>
    <s v="blue_pen.jpg"/>
    <s v="red_pen.jpg"/>
    <s v="green_pen.jpg"/>
    <m/>
    <x v="3"/>
  </r>
  <r>
    <n v="255"/>
    <x v="1"/>
    <x v="1"/>
    <m/>
    <d v="2022-05-18T09:55:55"/>
    <m/>
    <m/>
    <m/>
    <m/>
    <x v="0"/>
  </r>
  <r>
    <n v="261"/>
    <x v="1"/>
    <x v="1"/>
    <n v="1"/>
    <d v="2022-05-18T09:55:57"/>
    <s v="yellow_pen.jpg"/>
    <s v="red_pen.jpg"/>
    <m/>
    <m/>
    <x v="3"/>
  </r>
  <r>
    <n v="270"/>
    <x v="1"/>
    <x v="1"/>
    <m/>
    <d v="2022-05-18T09:56:08"/>
    <m/>
    <m/>
    <m/>
    <m/>
    <x v="0"/>
  </r>
  <r>
    <n v="273"/>
    <x v="1"/>
    <x v="1"/>
    <n v="0"/>
    <d v="2022-05-18T09:56:12"/>
    <s v="red_pen.jpg"/>
    <s v="green_pen.jpg"/>
    <m/>
    <m/>
    <x v="1"/>
  </r>
  <r>
    <n v="280"/>
    <x v="1"/>
    <x v="1"/>
    <m/>
    <d v="2022-05-18T09:56:22"/>
    <m/>
    <m/>
    <m/>
    <m/>
    <x v="0"/>
  </r>
  <r>
    <n v="288"/>
    <x v="1"/>
    <x v="1"/>
    <n v="0"/>
    <d v="2022-05-18T09:56:26"/>
    <s v="blue_pen.jpg"/>
    <s v="red_pen.jpg"/>
    <m/>
    <m/>
    <x v="3"/>
  </r>
  <r>
    <n v="296"/>
    <x v="1"/>
    <x v="1"/>
    <m/>
    <d v="2022-05-18T09:56:37"/>
    <m/>
    <m/>
    <m/>
    <m/>
    <x v="0"/>
  </r>
  <r>
    <n v="300"/>
    <x v="1"/>
    <x v="1"/>
    <n v="1"/>
    <d v="2022-05-18T09:56:41"/>
    <s v="yellow_pen.jpg"/>
    <s v="red_pen.jpg"/>
    <s v="green_pen.jpg"/>
    <m/>
    <x v="3"/>
  </r>
  <r>
    <n v="312"/>
    <x v="1"/>
    <x v="2"/>
    <m/>
    <d v="2022-05-18T09:56:50"/>
    <m/>
    <m/>
    <m/>
    <m/>
    <x v="0"/>
  </r>
  <r>
    <n v="325"/>
    <x v="1"/>
    <x v="2"/>
    <n v="3"/>
    <d v="2022-05-18T09:57:00"/>
    <s v="pen2.jpg"/>
    <s v="pen3.jpg"/>
    <s v="pen4.jpg"/>
    <s v="pen1.jpg"/>
    <x v="10"/>
  </r>
  <r>
    <n v="22"/>
    <x v="2"/>
    <x v="0"/>
    <m/>
    <d v="2022-05-18T09:52:00"/>
    <m/>
    <m/>
    <m/>
    <m/>
    <x v="0"/>
  </r>
  <r>
    <n v="36"/>
    <x v="2"/>
    <x v="0"/>
    <n v="1"/>
    <d v="2022-05-18T09:52:18"/>
    <s v="blue_pen.jpg"/>
    <s v="yellow_pen.jpg"/>
    <m/>
    <m/>
    <x v="2"/>
  </r>
  <r>
    <n v="46"/>
    <x v="2"/>
    <x v="0"/>
    <m/>
    <d v="2022-05-18T09:52:29"/>
    <m/>
    <m/>
    <m/>
    <m/>
    <x v="0"/>
  </r>
  <r>
    <n v="61"/>
    <x v="2"/>
    <x v="0"/>
    <n v="0"/>
    <d v="2022-05-18T09:52:47"/>
    <s v="yellow_pen.jpg"/>
    <s v="red_pen.jpg"/>
    <m/>
    <m/>
    <x v="4"/>
  </r>
  <r>
    <n v="69"/>
    <x v="2"/>
    <x v="0"/>
    <m/>
    <d v="2022-05-18T09:52:56"/>
    <m/>
    <m/>
    <m/>
    <m/>
    <x v="0"/>
  </r>
  <r>
    <n v="76"/>
    <x v="2"/>
    <x v="0"/>
    <n v="0"/>
    <d v="2022-05-18T09:53:04"/>
    <s v="blue_pen.jpg"/>
    <s v="green_pen.jpg"/>
    <m/>
    <m/>
    <x v="2"/>
  </r>
  <r>
    <n v="90"/>
    <x v="2"/>
    <x v="0"/>
    <m/>
    <d v="2022-05-18T09:53:18"/>
    <m/>
    <m/>
    <m/>
    <m/>
    <x v="0"/>
  </r>
  <r>
    <n v="102"/>
    <x v="2"/>
    <x v="0"/>
    <n v="1"/>
    <d v="2022-05-18T09:53:31"/>
    <s v="green_pen.jpg"/>
    <s v="yellow_pen.jpg"/>
    <s v="red_pen.jpg"/>
    <s v="blue_pen.jpg"/>
    <x v="1"/>
  </r>
  <r>
    <n v="114"/>
    <x v="2"/>
    <x v="0"/>
    <m/>
    <d v="2022-05-18T09:53:42"/>
    <m/>
    <m/>
    <m/>
    <m/>
    <x v="0"/>
  </r>
  <r>
    <n v="120"/>
    <x v="2"/>
    <x v="0"/>
    <n v="0"/>
    <d v="2022-05-18T09:53:48"/>
    <s v="red_pen.jpg"/>
    <s v="blue_pen.jpg"/>
    <m/>
    <m/>
    <x v="3"/>
  </r>
  <r>
    <n v="131"/>
    <x v="2"/>
    <x v="0"/>
    <m/>
    <d v="2022-05-18T09:53:58"/>
    <m/>
    <m/>
    <m/>
    <m/>
    <x v="0"/>
  </r>
  <r>
    <n v="140"/>
    <x v="2"/>
    <x v="0"/>
    <n v="2"/>
    <d v="2022-05-18T09:54:06"/>
    <s v="green_pen.jpg"/>
    <s v="blue_pen.jpg"/>
    <s v="red_pen.jpg"/>
    <m/>
    <x v="1"/>
  </r>
  <r>
    <n v="150"/>
    <x v="2"/>
    <x v="0"/>
    <m/>
    <d v="2022-05-18T09:54:16"/>
    <m/>
    <m/>
    <m/>
    <m/>
    <x v="0"/>
  </r>
  <r>
    <n v="156"/>
    <x v="2"/>
    <x v="0"/>
    <n v="0"/>
    <d v="2022-05-18T09:54:21"/>
    <s v="red_pen.jpg"/>
    <s v="green_pen.jpg"/>
    <m/>
    <m/>
    <x v="3"/>
  </r>
  <r>
    <n v="165"/>
    <x v="2"/>
    <x v="0"/>
    <m/>
    <d v="2022-05-18T09:54:30"/>
    <m/>
    <m/>
    <m/>
    <m/>
    <x v="0"/>
  </r>
  <r>
    <n v="170"/>
    <x v="2"/>
    <x v="0"/>
    <n v="0"/>
    <d v="2022-05-18T09:54:34"/>
    <s v="yellow_pen.jpg"/>
    <s v="green_pen.jpg"/>
    <s v="blue_pen.jpg"/>
    <m/>
    <x v="4"/>
  </r>
  <r>
    <n v="180"/>
    <x v="2"/>
    <x v="0"/>
    <m/>
    <d v="2022-05-18T09:54:43"/>
    <m/>
    <m/>
    <m/>
    <m/>
    <x v="0"/>
  </r>
  <r>
    <n v="183"/>
    <x v="2"/>
    <x v="0"/>
    <n v="0"/>
    <d v="2022-05-18T09:54:46"/>
    <s v="yellow_pen.jpg"/>
    <s v="green_pen.jpg"/>
    <m/>
    <m/>
    <x v="4"/>
  </r>
  <r>
    <n v="194"/>
    <x v="2"/>
    <x v="0"/>
    <m/>
    <d v="2022-05-18T09:54:56"/>
    <m/>
    <m/>
    <m/>
    <m/>
    <x v="0"/>
  </r>
  <r>
    <n v="204"/>
    <x v="2"/>
    <x v="0"/>
    <n v="2"/>
    <d v="2022-05-18T09:55:06"/>
    <s v="green_pen.jpg"/>
    <s v="red_pen.jpg"/>
    <s v="yellow_pen.jpg"/>
    <m/>
    <x v="1"/>
  </r>
  <r>
    <n v="217"/>
    <x v="2"/>
    <x v="0"/>
    <m/>
    <d v="2022-05-18T09:55:16"/>
    <m/>
    <m/>
    <m/>
    <m/>
    <x v="0"/>
  </r>
  <r>
    <n v="220"/>
    <x v="2"/>
    <x v="0"/>
    <n v="1"/>
    <d v="2022-05-18T09:55:19"/>
    <s v="red_pen.jpg"/>
    <s v="yellow_pen.jpg"/>
    <s v="blue_pen.jpg"/>
    <m/>
    <x v="3"/>
  </r>
  <r>
    <n v="232"/>
    <x v="2"/>
    <x v="1"/>
    <m/>
    <d v="2022-05-18T09:55:30"/>
    <m/>
    <m/>
    <m/>
    <m/>
    <x v="0"/>
  </r>
  <r>
    <n v="236"/>
    <x v="2"/>
    <x v="1"/>
    <n v="1"/>
    <d v="2022-05-18T09:55:34"/>
    <s v="orange_pencil.jpg"/>
    <s v="yellow_pencil.jpg"/>
    <m/>
    <m/>
    <x v="5"/>
  </r>
  <r>
    <n v="249"/>
    <x v="2"/>
    <x v="1"/>
    <m/>
    <d v="2022-05-18T09:55:48"/>
    <m/>
    <m/>
    <m/>
    <m/>
    <x v="0"/>
  </r>
  <r>
    <n v="258"/>
    <x v="2"/>
    <x v="1"/>
    <n v="1"/>
    <d v="2022-05-18T09:55:57"/>
    <s v="red_pencil.jpg"/>
    <s v="yellow_pencil.jpg"/>
    <m/>
    <m/>
    <x v="5"/>
  </r>
  <r>
    <n v="267"/>
    <x v="2"/>
    <x v="1"/>
    <m/>
    <d v="2022-05-18T09:56:06"/>
    <m/>
    <m/>
    <m/>
    <m/>
    <x v="0"/>
  </r>
  <r>
    <n v="275"/>
    <x v="2"/>
    <x v="1"/>
    <n v="2"/>
    <d v="2022-05-18T09:56:13"/>
    <s v="orange_pencil.jpg"/>
    <s v="blue_pencil.jpg"/>
    <s v="red_pencil.jpg"/>
    <m/>
    <x v="6"/>
  </r>
  <r>
    <n v="284"/>
    <x v="2"/>
    <x v="1"/>
    <m/>
    <d v="2022-05-18T09:56:23"/>
    <m/>
    <m/>
    <m/>
    <m/>
    <x v="0"/>
  </r>
  <r>
    <n v="293"/>
    <x v="2"/>
    <x v="1"/>
    <n v="3"/>
    <d v="2022-05-18T09:56:29"/>
    <s v="red_pencil.jpg"/>
    <s v="blue_pencil.jpg"/>
    <s v="orange_pencil.jpg"/>
    <s v="yellow_pencil.jpg"/>
    <x v="6"/>
  </r>
  <r>
    <n v="297"/>
    <x v="2"/>
    <x v="1"/>
    <m/>
    <d v="2022-05-18T09:56:38"/>
    <m/>
    <m/>
    <m/>
    <m/>
    <x v="0"/>
  </r>
  <r>
    <n v="302"/>
    <x v="2"/>
    <x v="1"/>
    <n v="0"/>
    <d v="2022-05-18T09:56:42"/>
    <s v="yellow_pencil.jpg"/>
    <s v="blue_pencil.jpg"/>
    <m/>
    <m/>
    <x v="6"/>
  </r>
  <r>
    <n v="313"/>
    <x v="2"/>
    <x v="1"/>
    <m/>
    <d v="2022-05-18T09:56:53"/>
    <m/>
    <m/>
    <m/>
    <m/>
    <x v="0"/>
  </r>
  <r>
    <n v="319"/>
    <x v="2"/>
    <x v="1"/>
    <n v="0"/>
    <d v="2022-05-18T09:56:58"/>
    <s v="yellow_pencil.jpg"/>
    <s v="blue_pencil.jpg"/>
    <s v="orange_pencil.jpg"/>
    <m/>
    <x v="6"/>
  </r>
  <r>
    <n v="330"/>
    <x v="2"/>
    <x v="1"/>
    <m/>
    <d v="2022-05-18T09:57:08"/>
    <m/>
    <m/>
    <m/>
    <m/>
    <x v="0"/>
  </r>
  <r>
    <n v="332"/>
    <x v="2"/>
    <x v="1"/>
    <n v="1"/>
    <d v="2022-05-18T09:57:11"/>
    <s v="blue_pencil.jpg"/>
    <s v="orange_pencil.jpg"/>
    <m/>
    <m/>
    <x v="8"/>
  </r>
  <r>
    <n v="342"/>
    <x v="2"/>
    <x v="1"/>
    <m/>
    <d v="2022-05-18T09:57:21"/>
    <m/>
    <m/>
    <m/>
    <m/>
    <x v="0"/>
  </r>
  <r>
    <n v="344"/>
    <x v="2"/>
    <x v="1"/>
    <n v="2"/>
    <d v="2022-05-18T09:57:24"/>
    <s v="red_pencil.jpg"/>
    <s v="orange_pencil.jpg"/>
    <s v="yellow_pencil.jpg"/>
    <m/>
    <x v="8"/>
  </r>
  <r>
    <n v="351"/>
    <x v="2"/>
    <x v="1"/>
    <m/>
    <d v="2022-05-18T09:57:34"/>
    <m/>
    <m/>
    <m/>
    <m/>
    <x v="0"/>
  </r>
  <r>
    <n v="353"/>
    <x v="2"/>
    <x v="1"/>
    <n v="0"/>
    <d v="2022-05-18T09:57:37"/>
    <s v="red_pencil.jpg"/>
    <s v="blue_pencil.jpg"/>
    <m/>
    <m/>
    <x v="6"/>
  </r>
  <r>
    <n v="359"/>
    <x v="2"/>
    <x v="1"/>
    <m/>
    <d v="2022-05-18T09:57:48"/>
    <m/>
    <m/>
    <m/>
    <m/>
    <x v="0"/>
  </r>
  <r>
    <n v="363"/>
    <x v="2"/>
    <x v="1"/>
    <n v="1"/>
    <d v="2022-05-18T09:57:57"/>
    <s v="orange_pencil.jpg"/>
    <s v="red_pencil.jpg"/>
    <m/>
    <m/>
    <x v="7"/>
  </r>
  <r>
    <n v="364"/>
    <x v="2"/>
    <x v="1"/>
    <m/>
    <d v="2022-05-18T09:58:07"/>
    <m/>
    <m/>
    <m/>
    <m/>
    <x v="0"/>
  </r>
  <r>
    <n v="366"/>
    <x v="2"/>
    <x v="1"/>
    <n v="0"/>
    <d v="2022-05-18T09:58:11"/>
    <s v="yellow_pencil.jpg"/>
    <s v="blue_pencil.jpg"/>
    <s v="red_pencil.jpg"/>
    <m/>
    <x v="6"/>
  </r>
  <r>
    <n v="367"/>
    <x v="2"/>
    <x v="2"/>
    <m/>
    <d v="2022-05-18T09:58:20"/>
    <m/>
    <m/>
    <m/>
    <m/>
    <x v="0"/>
  </r>
  <r>
    <n v="369"/>
    <x v="2"/>
    <x v="2"/>
    <n v="1"/>
    <d v="2022-05-18T09:58:26"/>
    <s v="pen4.jpg"/>
    <s v="pen2.jpg"/>
    <s v="pen1.jpg"/>
    <s v="pen3.jpg"/>
    <x v="11"/>
  </r>
  <r>
    <n v="3"/>
    <x v="3"/>
    <x v="0"/>
    <m/>
    <d v="2022-05-18T09:51:21"/>
    <m/>
    <m/>
    <m/>
    <m/>
    <x v="0"/>
  </r>
  <r>
    <n v="24"/>
    <x v="3"/>
    <x v="0"/>
    <n v="1"/>
    <d v="2022-05-18T09:52:03"/>
    <s v="blue_pencil.jpg"/>
    <s v="red_pencil.jpg"/>
    <s v="yellow_pencil.jpg"/>
    <m/>
    <x v="6"/>
  </r>
  <r>
    <n v="32"/>
    <x v="3"/>
    <x v="0"/>
    <m/>
    <d v="2022-05-18T09:52:13"/>
    <m/>
    <m/>
    <m/>
    <m/>
    <x v="0"/>
  </r>
  <r>
    <n v="59"/>
    <x v="3"/>
    <x v="0"/>
    <n v="1"/>
    <d v="2022-05-18T09:52:45"/>
    <s v="orange_pencil.jpg"/>
    <s v="blue_pencil.jpg"/>
    <m/>
    <m/>
    <x v="8"/>
  </r>
  <r>
    <n v="66"/>
    <x v="3"/>
    <x v="0"/>
    <m/>
    <d v="2022-05-18T09:52:55"/>
    <m/>
    <m/>
    <m/>
    <m/>
    <x v="0"/>
  </r>
  <r>
    <n v="74"/>
    <x v="3"/>
    <x v="0"/>
    <n v="3"/>
    <d v="2022-05-18T09:53:00"/>
    <s v="red_pencil.jpg"/>
    <s v="blue_pencil.jpg"/>
    <s v="orange_pencil.jpg"/>
    <s v="yellow_pencil.jpg"/>
    <x v="7"/>
  </r>
  <r>
    <n v="82"/>
    <x v="3"/>
    <x v="0"/>
    <m/>
    <d v="2022-05-18T09:53:09"/>
    <m/>
    <m/>
    <m/>
    <m/>
    <x v="0"/>
  </r>
  <r>
    <n v="87"/>
    <x v="3"/>
    <x v="0"/>
    <n v="0"/>
    <d v="2022-05-18T09:53:15"/>
    <s v="yellow_pencil.jpg"/>
    <s v="blue_pencil.jpg"/>
    <m/>
    <m/>
    <x v="5"/>
  </r>
  <r>
    <n v="97"/>
    <x v="3"/>
    <x v="0"/>
    <m/>
    <d v="2022-05-18T09:53:26"/>
    <m/>
    <m/>
    <m/>
    <m/>
    <x v="0"/>
  </r>
  <r>
    <n v="106"/>
    <x v="3"/>
    <x v="0"/>
    <n v="0"/>
    <d v="2022-05-18T09:53:33"/>
    <s v="red_pencil.jpg"/>
    <s v="orange_pencil.jpg"/>
    <s v="blue_pencil.jpg"/>
    <m/>
    <x v="7"/>
  </r>
  <r>
    <n v="116"/>
    <x v="3"/>
    <x v="0"/>
    <m/>
    <d v="2022-05-18T09:53:44"/>
    <m/>
    <m/>
    <m/>
    <m/>
    <x v="0"/>
  </r>
  <r>
    <n v="125"/>
    <x v="3"/>
    <x v="0"/>
    <n v="0"/>
    <d v="2022-05-18T09:53:53"/>
    <s v="yellow_pencil.jpg"/>
    <s v="orange_pencil.jpg"/>
    <m/>
    <m/>
    <x v="5"/>
  </r>
  <r>
    <n v="135"/>
    <x v="3"/>
    <x v="0"/>
    <m/>
    <d v="2022-05-18T09:54:03"/>
    <m/>
    <m/>
    <m/>
    <m/>
    <x v="0"/>
  </r>
  <r>
    <n v="141"/>
    <x v="3"/>
    <x v="0"/>
    <n v="1"/>
    <d v="2022-05-18T09:54:07"/>
    <s v="blue_pencil.jpg"/>
    <s v="red_pencil.jpg"/>
    <m/>
    <m/>
    <x v="6"/>
  </r>
  <r>
    <n v="151"/>
    <x v="3"/>
    <x v="0"/>
    <m/>
    <d v="2022-05-18T09:54:16"/>
    <m/>
    <m/>
    <m/>
    <m/>
    <x v="0"/>
  </r>
  <r>
    <n v="159"/>
    <x v="3"/>
    <x v="0"/>
    <n v="1"/>
    <d v="2022-05-18T09:54:22"/>
    <s v="yellow_pencil.jpg"/>
    <s v="red_pencil.jpg"/>
    <s v="orange_pencil.jpg"/>
    <m/>
    <x v="5"/>
  </r>
  <r>
    <n v="169"/>
    <x v="3"/>
    <x v="0"/>
    <m/>
    <d v="2022-05-18T09:54:31"/>
    <m/>
    <m/>
    <m/>
    <m/>
    <x v="0"/>
  </r>
  <r>
    <n v="172"/>
    <x v="3"/>
    <x v="0"/>
    <n v="1"/>
    <d v="2022-05-18T09:54:37"/>
    <s v="yellow_pencil.jpg"/>
    <s v="orange_pencil.jpg"/>
    <s v="blue_pencil.jpg"/>
    <m/>
    <x v="5"/>
  </r>
  <r>
    <n v="184"/>
    <x v="3"/>
    <x v="0"/>
    <m/>
    <d v="2022-05-18T09:54:46"/>
    <m/>
    <m/>
    <m/>
    <m/>
    <x v="0"/>
  </r>
  <r>
    <n v="187"/>
    <x v="3"/>
    <x v="0"/>
    <n v="0"/>
    <d v="2022-05-18T09:54:51"/>
    <s v="red_pencil.jpg"/>
    <s v="orange_pencil.jpg"/>
    <m/>
    <m/>
    <x v="7"/>
  </r>
  <r>
    <n v="199"/>
    <x v="3"/>
    <x v="0"/>
    <m/>
    <d v="2022-05-18T09:55:01"/>
    <m/>
    <m/>
    <m/>
    <m/>
    <x v="0"/>
  </r>
  <r>
    <n v="202"/>
    <x v="3"/>
    <x v="0"/>
    <n v="0"/>
    <d v="2022-05-18T09:55:03"/>
    <s v="yellow_pencil.jpg"/>
    <s v="red_pencil.jpg"/>
    <m/>
    <m/>
    <x v="5"/>
  </r>
  <r>
    <n v="215"/>
    <x v="3"/>
    <x v="1"/>
    <m/>
    <d v="2022-05-18T09:55:14"/>
    <m/>
    <m/>
    <m/>
    <m/>
    <x v="0"/>
  </r>
  <r>
    <n v="219"/>
    <x v="3"/>
    <x v="1"/>
    <n v="0"/>
    <d v="2022-05-18T09:55:18"/>
    <s v="red_pen.jpg"/>
    <s v="yellow_pen.jpg"/>
    <s v="green_pen.jpg"/>
    <m/>
    <x v="4"/>
  </r>
  <r>
    <n v="229"/>
    <x v="3"/>
    <x v="1"/>
    <m/>
    <d v="2022-05-18T09:55:27"/>
    <m/>
    <m/>
    <m/>
    <m/>
    <x v="0"/>
  </r>
  <r>
    <n v="233"/>
    <x v="3"/>
    <x v="1"/>
    <n v="2"/>
    <d v="2022-05-18T09:55:30"/>
    <s v="red_pen.jpg"/>
    <s v="blue_pen.jpg"/>
    <s v="yellow_pen.jpg"/>
    <m/>
    <x v="2"/>
  </r>
  <r>
    <n v="242"/>
    <x v="3"/>
    <x v="1"/>
    <m/>
    <d v="2022-05-18T09:55:39"/>
    <m/>
    <m/>
    <m/>
    <m/>
    <x v="0"/>
  </r>
  <r>
    <n v="244"/>
    <x v="3"/>
    <x v="1"/>
    <n v="1"/>
    <d v="2022-05-18T09:55:43"/>
    <s v="red_pen.jpg"/>
    <s v="blue_pen.jpg"/>
    <s v="green_pen.jpg"/>
    <m/>
    <x v="2"/>
  </r>
  <r>
    <n v="251"/>
    <x v="3"/>
    <x v="1"/>
    <m/>
    <d v="2022-05-18T09:55:54"/>
    <m/>
    <m/>
    <m/>
    <m/>
    <x v="0"/>
  </r>
  <r>
    <n v="257"/>
    <x v="3"/>
    <x v="1"/>
    <n v="1"/>
    <d v="2022-05-18T09:55:57"/>
    <s v="blue_pen.jpg"/>
    <s v="yellow_pen.jpg"/>
    <m/>
    <m/>
    <x v="4"/>
  </r>
  <r>
    <n v="264"/>
    <x v="3"/>
    <x v="1"/>
    <m/>
    <d v="2022-05-18T09:56:05"/>
    <m/>
    <m/>
    <m/>
    <m/>
    <x v="0"/>
  </r>
  <r>
    <n v="272"/>
    <x v="3"/>
    <x v="1"/>
    <n v="0"/>
    <d v="2022-05-18T09:56:09"/>
    <s v="yellow_pen.jpg"/>
    <s v="blue_pen.jpg"/>
    <s v="green_pen.jpg"/>
    <m/>
    <x v="2"/>
  </r>
  <r>
    <n v="281"/>
    <x v="3"/>
    <x v="1"/>
    <m/>
    <d v="2022-05-18T09:56:23"/>
    <m/>
    <m/>
    <m/>
    <m/>
    <x v="0"/>
  </r>
  <r>
    <n v="294"/>
    <x v="3"/>
    <x v="1"/>
    <n v="1"/>
    <d v="2022-05-18T09:56:32"/>
    <s v="green_pen.jpg"/>
    <s v="red_pen.jpg"/>
    <m/>
    <m/>
    <x v="3"/>
  </r>
  <r>
    <n v="304"/>
    <x v="3"/>
    <x v="1"/>
    <m/>
    <d v="2022-05-18T09:56:42"/>
    <m/>
    <m/>
    <m/>
    <m/>
    <x v="0"/>
  </r>
  <r>
    <n v="311"/>
    <x v="3"/>
    <x v="1"/>
    <n v="0"/>
    <d v="2022-05-18T09:56:49"/>
    <s v="green_pen.jpg"/>
    <s v="blue_pen.jpg"/>
    <s v="yellow_pen.jpg"/>
    <s v="red_pen.jpg"/>
    <x v="2"/>
  </r>
  <r>
    <n v="322"/>
    <x v="3"/>
    <x v="1"/>
    <m/>
    <d v="2022-05-18T09:56:59"/>
    <m/>
    <m/>
    <m/>
    <m/>
    <x v="0"/>
  </r>
  <r>
    <n v="326"/>
    <x v="3"/>
    <x v="1"/>
    <n v="1"/>
    <d v="2022-05-18T09:57:02"/>
    <s v="red_pen.jpg"/>
    <s v="yellow_pen.jpg"/>
    <m/>
    <m/>
    <x v="4"/>
  </r>
  <r>
    <n v="337"/>
    <x v="3"/>
    <x v="1"/>
    <m/>
    <d v="2022-05-18T09:57:13"/>
    <m/>
    <m/>
    <m/>
    <m/>
    <x v="0"/>
  </r>
  <r>
    <n v="339"/>
    <x v="3"/>
    <x v="1"/>
    <n v="1"/>
    <d v="2022-05-18T09:57:16"/>
    <s v="blue_pen.jpg"/>
    <s v="red_pen.jpg"/>
    <m/>
    <m/>
    <x v="3"/>
  </r>
  <r>
    <n v="345"/>
    <x v="3"/>
    <x v="1"/>
    <m/>
    <d v="2022-05-18T09:57:26"/>
    <m/>
    <m/>
    <m/>
    <m/>
    <x v="0"/>
  </r>
  <r>
    <n v="350"/>
    <x v="3"/>
    <x v="1"/>
    <n v="1"/>
    <d v="2022-05-18T09:57:33"/>
    <s v="green_pen.jpg"/>
    <s v="blue_pen.jpg"/>
    <m/>
    <m/>
    <x v="2"/>
  </r>
  <r>
    <n v="355"/>
    <x v="3"/>
    <x v="1"/>
    <m/>
    <d v="2022-05-18T09:57:43"/>
    <m/>
    <m/>
    <m/>
    <m/>
    <x v="0"/>
  </r>
  <r>
    <n v="357"/>
    <x v="3"/>
    <x v="1"/>
    <n v="1"/>
    <d v="2022-05-18T09:57:46"/>
    <s v="yellow_pen.jpg"/>
    <s v="green_pen.jpg"/>
    <m/>
    <m/>
    <x v="1"/>
  </r>
  <r>
    <n v="361"/>
    <x v="3"/>
    <x v="2"/>
    <m/>
    <d v="2022-05-18T09:57:55"/>
    <m/>
    <m/>
    <m/>
    <m/>
    <x v="0"/>
  </r>
  <r>
    <n v="371"/>
    <x v="3"/>
    <x v="2"/>
    <n v="1"/>
    <d v="2022-05-18T09:58:40"/>
    <s v="pen3.jpg"/>
    <s v="pen2.jpg"/>
    <s v="pen4.jpg"/>
    <s v="pen1.jpg"/>
    <x v="10"/>
  </r>
  <r>
    <n v="4"/>
    <x v="4"/>
    <x v="0"/>
    <m/>
    <d v="2022-05-18T09:51:21"/>
    <m/>
    <m/>
    <m/>
    <m/>
    <x v="0"/>
  </r>
  <r>
    <n v="10"/>
    <x v="4"/>
    <x v="0"/>
    <n v="1"/>
    <d v="2022-05-18T09:51:40"/>
    <s v="green_pen.jpg"/>
    <s v="blue_pen.jpg"/>
    <m/>
    <m/>
    <x v="1"/>
  </r>
  <r>
    <n v="16"/>
    <x v="4"/>
    <x v="0"/>
    <m/>
    <d v="2022-05-18T09:51:50"/>
    <m/>
    <m/>
    <m/>
    <m/>
    <x v="0"/>
  </r>
  <r>
    <n v="18"/>
    <x v="4"/>
    <x v="0"/>
    <n v="2"/>
    <d v="2022-05-18T09:51:57"/>
    <s v="blue_pen.jpg"/>
    <s v="yellow_pen.jpg"/>
    <s v="red_pen.jpg"/>
    <m/>
    <x v="2"/>
  </r>
  <r>
    <n v="27"/>
    <x v="4"/>
    <x v="0"/>
    <m/>
    <d v="2022-05-18T09:52:06"/>
    <m/>
    <m/>
    <m/>
    <m/>
    <x v="0"/>
  </r>
  <r>
    <n v="30"/>
    <x v="4"/>
    <x v="0"/>
    <n v="0"/>
    <d v="2022-05-18T09:52:10"/>
    <s v="yellow_pen.jpg"/>
    <s v="green_pen.jpg"/>
    <s v="blue_pen.jpg"/>
    <m/>
    <x v="4"/>
  </r>
  <r>
    <n v="39"/>
    <x v="4"/>
    <x v="0"/>
    <m/>
    <d v="2022-05-18T09:52:20"/>
    <m/>
    <m/>
    <m/>
    <m/>
    <x v="0"/>
  </r>
  <r>
    <n v="43"/>
    <x v="4"/>
    <x v="0"/>
    <n v="1"/>
    <d v="2022-05-18T09:52:22"/>
    <s v="blue_pen.jpg"/>
    <s v="red_pen.jpg"/>
    <m/>
    <m/>
    <x v="2"/>
  </r>
  <r>
    <n v="50"/>
    <x v="4"/>
    <x v="0"/>
    <m/>
    <d v="2022-05-18T09:52:34"/>
    <m/>
    <m/>
    <m/>
    <m/>
    <x v="0"/>
  </r>
  <r>
    <n v="54"/>
    <x v="4"/>
    <x v="0"/>
    <n v="2"/>
    <d v="2022-05-18T09:52:41"/>
    <s v="yellow_pen.jpg"/>
    <s v="blue_pen.jpg"/>
    <s v="green_pen.jpg"/>
    <s v="red_pen.jpg"/>
    <x v="4"/>
  </r>
  <r>
    <n v="68"/>
    <x v="4"/>
    <x v="0"/>
    <m/>
    <d v="2022-05-18T09:52:55"/>
    <m/>
    <m/>
    <m/>
    <m/>
    <x v="0"/>
  </r>
  <r>
    <n v="72"/>
    <x v="4"/>
    <x v="0"/>
    <n v="2"/>
    <d v="2022-05-18T09:52:58"/>
    <s v="yellow_pen.jpg"/>
    <s v="green_pen.jpg"/>
    <s v="red_pen.jpg"/>
    <m/>
    <x v="4"/>
  </r>
  <r>
    <n v="81"/>
    <x v="4"/>
    <x v="0"/>
    <m/>
    <d v="2022-05-18T09:53:08"/>
    <m/>
    <m/>
    <m/>
    <m/>
    <x v="0"/>
  </r>
  <r>
    <n v="91"/>
    <x v="4"/>
    <x v="0"/>
    <n v="0"/>
    <d v="2022-05-18T09:53:19"/>
    <s v="green_pen.jpg"/>
    <s v="yellow_pen.jpg"/>
    <m/>
    <m/>
    <x v="1"/>
  </r>
  <r>
    <n v="99"/>
    <x v="4"/>
    <x v="0"/>
    <m/>
    <d v="2022-05-18T09:53:28"/>
    <m/>
    <m/>
    <m/>
    <m/>
    <x v="0"/>
  </r>
  <r>
    <n v="103"/>
    <x v="4"/>
    <x v="0"/>
    <n v="1"/>
    <d v="2022-05-18T09:53:31"/>
    <s v="yellow_pen.jpg"/>
    <s v="blue_pen.jpg"/>
    <m/>
    <m/>
    <x v="4"/>
  </r>
  <r>
    <n v="112"/>
    <x v="4"/>
    <x v="0"/>
    <m/>
    <d v="2022-05-18T09:53:40"/>
    <m/>
    <m/>
    <m/>
    <m/>
    <x v="0"/>
  </r>
  <r>
    <n v="117"/>
    <x v="4"/>
    <x v="0"/>
    <n v="0"/>
    <d v="2022-05-18T09:53:45"/>
    <s v="green_pen.jpg"/>
    <s v="red_pen.jpg"/>
    <m/>
    <m/>
    <x v="1"/>
  </r>
  <r>
    <n v="127"/>
    <x v="4"/>
    <x v="0"/>
    <m/>
    <d v="2022-05-18T09:53:54"/>
    <m/>
    <m/>
    <m/>
    <m/>
    <x v="0"/>
  </r>
  <r>
    <n v="128"/>
    <x v="4"/>
    <x v="0"/>
    <n v="1"/>
    <d v="2022-05-18T09:53:56"/>
    <s v="red_pen.jpg"/>
    <s v="yellow_pen.jpg"/>
    <m/>
    <m/>
    <x v="3"/>
  </r>
  <r>
    <n v="139"/>
    <x v="4"/>
    <x v="0"/>
    <m/>
    <d v="2022-05-18T09:54:06"/>
    <m/>
    <m/>
    <m/>
    <m/>
    <x v="0"/>
  </r>
  <r>
    <n v="145"/>
    <x v="4"/>
    <x v="0"/>
    <n v="2"/>
    <d v="2022-05-18T09:54:09"/>
    <s v="blue_pen.jpg"/>
    <s v="green_pen.jpg"/>
    <s v="red_pen.jpg"/>
    <m/>
    <x v="2"/>
  </r>
  <r>
    <n v="158"/>
    <x v="4"/>
    <x v="1"/>
    <m/>
    <d v="2022-05-18T09:54:22"/>
    <m/>
    <m/>
    <m/>
    <m/>
    <x v="0"/>
  </r>
  <r>
    <n v="164"/>
    <x v="4"/>
    <x v="1"/>
    <n v="0"/>
    <d v="2022-05-18T09:54:29"/>
    <s v="yellow_pencil.jpg"/>
    <s v="blue_pencil.jpg"/>
    <s v="orange_pencil.jpg"/>
    <m/>
    <x v="6"/>
  </r>
  <r>
    <n v="176"/>
    <x v="4"/>
    <x v="1"/>
    <m/>
    <d v="2022-05-18T09:54:40"/>
    <m/>
    <m/>
    <m/>
    <m/>
    <x v="0"/>
  </r>
  <r>
    <n v="182"/>
    <x v="4"/>
    <x v="1"/>
    <n v="0"/>
    <d v="2022-05-18T09:54:44"/>
    <s v="blue_pencil.jpg"/>
    <s v="yellow_pencil.jpg"/>
    <m/>
    <m/>
    <x v="5"/>
  </r>
  <r>
    <n v="190"/>
    <x v="4"/>
    <x v="1"/>
    <m/>
    <d v="2022-05-18T09:54:53"/>
    <m/>
    <m/>
    <m/>
    <m/>
    <x v="0"/>
  </r>
  <r>
    <n v="193"/>
    <x v="4"/>
    <x v="1"/>
    <n v="0"/>
    <d v="2022-05-18T09:54:56"/>
    <s v="orange_pencil.jpg"/>
    <s v="yellow_pencil.jpg"/>
    <m/>
    <m/>
    <x v="5"/>
  </r>
  <r>
    <n v="208"/>
    <x v="4"/>
    <x v="1"/>
    <m/>
    <d v="2022-05-18T09:55:09"/>
    <m/>
    <m/>
    <m/>
    <m/>
    <x v="0"/>
  </r>
  <r>
    <n v="213"/>
    <x v="4"/>
    <x v="1"/>
    <n v="0"/>
    <d v="2022-05-18T09:55:12"/>
    <s v="red_pencil.jpg"/>
    <s v="yellow_pencil.jpg"/>
    <m/>
    <m/>
    <x v="5"/>
  </r>
  <r>
    <n v="223"/>
    <x v="4"/>
    <x v="1"/>
    <m/>
    <d v="2022-05-18T09:55:21"/>
    <m/>
    <m/>
    <m/>
    <m/>
    <x v="0"/>
  </r>
  <r>
    <n v="228"/>
    <x v="4"/>
    <x v="1"/>
    <n v="0"/>
    <d v="2022-05-18T09:55:26"/>
    <s v="red_pencil.jpg"/>
    <s v="yellow_pencil.jpg"/>
    <s v="orange_pencil.jpg"/>
    <m/>
    <x v="5"/>
  </r>
  <r>
    <n v="239"/>
    <x v="4"/>
    <x v="1"/>
    <m/>
    <d v="2022-05-18T09:55:39"/>
    <m/>
    <m/>
    <m/>
    <m/>
    <x v="0"/>
  </r>
  <r>
    <n v="243"/>
    <x v="4"/>
    <x v="1"/>
    <n v="0"/>
    <d v="2022-05-18T09:55:41"/>
    <s v="red_pencil.jpg"/>
    <s v="blue_pencil.jpg"/>
    <m/>
    <m/>
    <x v="6"/>
  </r>
  <r>
    <n v="252"/>
    <x v="4"/>
    <x v="1"/>
    <m/>
    <d v="2022-05-18T09:55:54"/>
    <m/>
    <m/>
    <m/>
    <m/>
    <x v="0"/>
  </r>
  <r>
    <n v="259"/>
    <x v="4"/>
    <x v="1"/>
    <n v="0"/>
    <d v="2022-05-18T09:55:57"/>
    <s v="red_pencil.jpg"/>
    <s v="orange_pencil.jpg"/>
    <m/>
    <m/>
    <x v="8"/>
  </r>
  <r>
    <n v="269"/>
    <x v="4"/>
    <x v="1"/>
    <m/>
    <d v="2022-05-18T09:56:08"/>
    <m/>
    <m/>
    <m/>
    <m/>
    <x v="0"/>
  </r>
  <r>
    <n v="277"/>
    <x v="4"/>
    <x v="1"/>
    <n v="0"/>
    <d v="2022-05-18T09:56:13"/>
    <s v="orange_pencil.jpg"/>
    <s v="blue_pencil.jpg"/>
    <m/>
    <m/>
    <x v="6"/>
  </r>
  <r>
    <n v="285"/>
    <x v="4"/>
    <x v="1"/>
    <m/>
    <d v="2022-05-18T09:56:24"/>
    <m/>
    <m/>
    <m/>
    <m/>
    <x v="0"/>
  </r>
  <r>
    <n v="291"/>
    <x v="4"/>
    <x v="1"/>
    <n v="1"/>
    <d v="2022-05-18T09:56:28"/>
    <s v="blue_pencil.jpg"/>
    <s v="red_pencil.jpg"/>
    <s v="yellow_pencil.jpg"/>
    <m/>
    <x v="7"/>
  </r>
  <r>
    <n v="301"/>
    <x v="4"/>
    <x v="1"/>
    <m/>
    <d v="2022-05-18T09:56:41"/>
    <m/>
    <m/>
    <m/>
    <m/>
    <x v="0"/>
  </r>
  <r>
    <n v="308"/>
    <x v="4"/>
    <x v="1"/>
    <n v="0"/>
    <d v="2022-05-18T09:56:44"/>
    <s v="red_pencil.jpg"/>
    <s v="orange_pencil.jpg"/>
    <s v="blue_pencil.jpg"/>
    <m/>
    <x v="8"/>
  </r>
  <r>
    <n v="316"/>
    <x v="4"/>
    <x v="1"/>
    <m/>
    <d v="2022-05-18T09:56:55"/>
    <m/>
    <m/>
    <m/>
    <m/>
    <x v="0"/>
  </r>
  <r>
    <n v="323"/>
    <x v="4"/>
    <x v="1"/>
    <n v="0"/>
    <d v="2022-05-18T09:56:59"/>
    <s v="red_pencil.jpg"/>
    <s v="blue_pencil.jpg"/>
    <s v="yellow_pencil.jpg"/>
    <s v="orange_pencil.jpg"/>
    <x v="6"/>
  </r>
  <r>
    <n v="334"/>
    <x v="4"/>
    <x v="2"/>
    <m/>
    <d v="2022-05-18T09:57:12"/>
    <m/>
    <m/>
    <m/>
    <m/>
    <x v="0"/>
  </r>
  <r>
    <n v="338"/>
    <x v="4"/>
    <x v="2"/>
    <n v="3"/>
    <d v="2022-05-18T09:57:15"/>
    <s v="pen4.jpg"/>
    <s v="pen3.jpg"/>
    <s v="pen1.jpg"/>
    <s v="pen2.jpg"/>
    <x v="11"/>
  </r>
  <r>
    <n v="5"/>
    <x v="5"/>
    <x v="0"/>
    <m/>
    <d v="2022-05-18T09:51:21"/>
    <m/>
    <m/>
    <m/>
    <m/>
    <x v="0"/>
  </r>
  <r>
    <n v="9"/>
    <x v="5"/>
    <x v="0"/>
    <n v="1"/>
    <d v="2022-05-18T09:51:39"/>
    <s v="yellow_pencil.jpg"/>
    <s v="red_pencil.jpg"/>
    <m/>
    <m/>
    <x v="5"/>
  </r>
  <r>
    <n v="15"/>
    <x v="5"/>
    <x v="0"/>
    <m/>
    <d v="2022-05-18T09:51:49"/>
    <m/>
    <m/>
    <m/>
    <m/>
    <x v="0"/>
  </r>
  <r>
    <n v="23"/>
    <x v="5"/>
    <x v="0"/>
    <n v="2"/>
    <d v="2022-05-18T09:52:00"/>
    <s v="yellow_pencil.jpg"/>
    <s v="orange_pencil.jpg"/>
    <s v="red_pencil.jpg"/>
    <m/>
    <x v="5"/>
  </r>
  <r>
    <n v="29"/>
    <x v="5"/>
    <x v="0"/>
    <m/>
    <d v="2022-05-18T09:52:10"/>
    <m/>
    <m/>
    <m/>
    <m/>
    <x v="0"/>
  </r>
  <r>
    <n v="34"/>
    <x v="5"/>
    <x v="0"/>
    <n v="1"/>
    <d v="2022-05-18T09:52:14"/>
    <s v="red_pencil.jpg"/>
    <s v="blue_pencil.jpg"/>
    <m/>
    <m/>
    <x v="7"/>
  </r>
  <r>
    <n v="44"/>
    <x v="5"/>
    <x v="0"/>
    <m/>
    <d v="2022-05-18T09:52:22"/>
    <m/>
    <m/>
    <m/>
    <m/>
    <x v="0"/>
  </r>
  <r>
    <n v="45"/>
    <x v="5"/>
    <x v="0"/>
    <n v="1"/>
    <d v="2022-05-18T09:52:26"/>
    <s v="orange_pencil.jpg"/>
    <s v="blue_pencil.jpg"/>
    <m/>
    <m/>
    <x v="8"/>
  </r>
  <r>
    <n v="52"/>
    <x v="5"/>
    <x v="0"/>
    <m/>
    <d v="2022-05-18T09:52:37"/>
    <m/>
    <m/>
    <m/>
    <m/>
    <x v="0"/>
  </r>
  <r>
    <n v="56"/>
    <x v="5"/>
    <x v="0"/>
    <n v="2"/>
    <d v="2022-05-18T09:52:45"/>
    <s v="blue_pencil.jpg"/>
    <s v="yellow_pencil.jpg"/>
    <s v="red_pencil.jpg"/>
    <m/>
    <x v="6"/>
  </r>
  <r>
    <n v="67"/>
    <x v="5"/>
    <x v="0"/>
    <m/>
    <d v="2022-05-18T09:52:55"/>
    <m/>
    <m/>
    <m/>
    <m/>
    <x v="0"/>
  </r>
  <r>
    <n v="73"/>
    <x v="5"/>
    <x v="0"/>
    <n v="1"/>
    <d v="2022-05-18T09:53:00"/>
    <s v="orange_pencil.jpg"/>
    <s v="yellow_pencil.jpg"/>
    <m/>
    <m/>
    <x v="8"/>
  </r>
  <r>
    <n v="84"/>
    <x v="5"/>
    <x v="0"/>
    <m/>
    <d v="2022-05-18T09:53:10"/>
    <m/>
    <m/>
    <m/>
    <m/>
    <x v="0"/>
  </r>
  <r>
    <n v="86"/>
    <x v="5"/>
    <x v="0"/>
    <n v="0"/>
    <d v="2022-05-18T09:53:14"/>
    <s v="blue_pencil.jpg"/>
    <s v="yellow_pencil.jpg"/>
    <m/>
    <m/>
    <x v="6"/>
  </r>
  <r>
    <n v="96"/>
    <x v="5"/>
    <x v="0"/>
    <m/>
    <d v="2022-05-18T09:53:23"/>
    <m/>
    <m/>
    <m/>
    <m/>
    <x v="0"/>
  </r>
  <r>
    <n v="98"/>
    <x v="5"/>
    <x v="0"/>
    <n v="1"/>
    <d v="2022-05-18T09:53:26"/>
    <s v="orange_pencil.jpg"/>
    <s v="red_pencil.jpg"/>
    <m/>
    <m/>
    <x v="8"/>
  </r>
  <r>
    <n v="109"/>
    <x v="5"/>
    <x v="0"/>
    <m/>
    <d v="2022-05-18T09:53:35"/>
    <m/>
    <m/>
    <m/>
    <m/>
    <x v="0"/>
  </r>
  <r>
    <n v="111"/>
    <x v="5"/>
    <x v="0"/>
    <n v="0"/>
    <d v="2022-05-18T09:53:39"/>
    <s v="blue_pencil.jpg"/>
    <s v="orange_pencil.jpg"/>
    <s v="red_pencil.jpg"/>
    <m/>
    <x v="6"/>
  </r>
  <r>
    <n v="122"/>
    <x v="5"/>
    <x v="0"/>
    <m/>
    <d v="2022-05-18T09:53:48"/>
    <m/>
    <m/>
    <m/>
    <m/>
    <x v="0"/>
  </r>
  <r>
    <n v="126"/>
    <x v="5"/>
    <x v="0"/>
    <n v="2"/>
    <d v="2022-05-18T09:53:54"/>
    <s v="yellow_pencil.jpg"/>
    <s v="orange_pencil.jpg"/>
    <s v="blue_pencil.jpg"/>
    <m/>
    <x v="5"/>
  </r>
  <r>
    <n v="137"/>
    <x v="5"/>
    <x v="0"/>
    <m/>
    <d v="2022-05-18T09:54:04"/>
    <m/>
    <m/>
    <m/>
    <m/>
    <x v="0"/>
  </r>
  <r>
    <n v="144"/>
    <x v="5"/>
    <x v="0"/>
    <n v="3"/>
    <d v="2022-05-18T09:54:08"/>
    <s v="yellow_pencil.jpg"/>
    <s v="blue_pencil.jpg"/>
    <s v="orange_pencil.jpg"/>
    <s v="red_pencil.jpg"/>
    <x v="5"/>
  </r>
  <r>
    <n v="152"/>
    <x v="5"/>
    <x v="1"/>
    <m/>
    <d v="2022-05-18T09:54:18"/>
    <m/>
    <m/>
    <m/>
    <m/>
    <x v="0"/>
  </r>
  <r>
    <n v="175"/>
    <x v="5"/>
    <x v="1"/>
    <n v="2"/>
    <d v="2022-05-18T09:54:39"/>
    <s v="red_pen.jpg"/>
    <s v="green_pen.jpg"/>
    <s v="yellow_pen.jpg"/>
    <m/>
    <x v="1"/>
  </r>
  <r>
    <n v="189"/>
    <x v="5"/>
    <x v="1"/>
    <m/>
    <d v="2022-05-18T09:54:53"/>
    <m/>
    <m/>
    <m/>
    <m/>
    <x v="0"/>
  </r>
  <r>
    <n v="198"/>
    <x v="5"/>
    <x v="1"/>
    <n v="0"/>
    <d v="2022-05-18T09:54:59"/>
    <s v="blue_pen.jpg"/>
    <s v="yellow_pen.jpg"/>
    <m/>
    <m/>
    <x v="4"/>
  </r>
  <r>
    <n v="209"/>
    <x v="5"/>
    <x v="1"/>
    <m/>
    <d v="2022-05-18T09:55:10"/>
    <m/>
    <m/>
    <m/>
    <m/>
    <x v="0"/>
  </r>
  <r>
    <n v="214"/>
    <x v="5"/>
    <x v="1"/>
    <n v="0"/>
    <d v="2022-05-18T09:55:12"/>
    <s v="blue_pen.jpg"/>
    <s v="yellow_pen.jpg"/>
    <s v="red_pen.jpg"/>
    <m/>
    <x v="4"/>
  </r>
  <r>
    <n v="225"/>
    <x v="5"/>
    <x v="1"/>
    <m/>
    <d v="2022-05-18T09:55:23"/>
    <m/>
    <m/>
    <m/>
    <m/>
    <x v="0"/>
  </r>
  <r>
    <n v="227"/>
    <x v="5"/>
    <x v="1"/>
    <n v="2"/>
    <d v="2022-05-18T09:55:26"/>
    <s v="yellow_pen.jpg"/>
    <s v="green_pen.jpg"/>
    <s v="blue_pen.jpg"/>
    <s v="red_pen.jpg"/>
    <x v="1"/>
  </r>
  <r>
    <n v="238"/>
    <x v="5"/>
    <x v="1"/>
    <m/>
    <d v="2022-05-18T09:55:37"/>
    <m/>
    <m/>
    <m/>
    <m/>
    <x v="0"/>
  </r>
  <r>
    <n v="241"/>
    <x v="5"/>
    <x v="1"/>
    <n v="0"/>
    <d v="2022-05-18T09:55:39"/>
    <s v="blue_pen.jpg"/>
    <s v="yellow_pen.jpg"/>
    <s v="green_pen.jpg"/>
    <m/>
    <x v="4"/>
  </r>
  <r>
    <n v="250"/>
    <x v="5"/>
    <x v="1"/>
    <m/>
    <d v="2022-05-18T09:55:53"/>
    <m/>
    <m/>
    <m/>
    <m/>
    <x v="0"/>
  </r>
  <r>
    <n v="256"/>
    <x v="5"/>
    <x v="1"/>
    <n v="0"/>
    <d v="2022-05-18T09:55:55"/>
    <s v="blue_pen.jpg"/>
    <s v="green_pen.jpg"/>
    <m/>
    <m/>
    <x v="1"/>
  </r>
  <r>
    <n v="265"/>
    <x v="5"/>
    <x v="1"/>
    <m/>
    <d v="2022-05-18T09:56:06"/>
    <m/>
    <m/>
    <m/>
    <m/>
    <x v="0"/>
  </r>
  <r>
    <n v="274"/>
    <x v="5"/>
    <x v="1"/>
    <n v="0"/>
    <d v="2022-05-18T09:56:12"/>
    <s v="yellow_pen.jpg"/>
    <s v="red_pen.jpg"/>
    <m/>
    <m/>
    <x v="3"/>
  </r>
  <r>
    <n v="283"/>
    <x v="5"/>
    <x v="1"/>
    <m/>
    <d v="2022-05-18T09:56:23"/>
    <m/>
    <m/>
    <m/>
    <m/>
    <x v="0"/>
  </r>
  <r>
    <n v="287"/>
    <x v="5"/>
    <x v="1"/>
    <n v="0"/>
    <d v="2022-05-18T09:56:26"/>
    <s v="blue_pen.jpg"/>
    <s v="red_pen.jpg"/>
    <m/>
    <m/>
    <x v="3"/>
  </r>
  <r>
    <n v="299"/>
    <x v="5"/>
    <x v="1"/>
    <m/>
    <d v="2022-05-18T09:56:41"/>
    <m/>
    <m/>
    <m/>
    <m/>
    <x v="0"/>
  </r>
  <r>
    <n v="306"/>
    <x v="5"/>
    <x v="1"/>
    <n v="0"/>
    <d v="2022-05-18T09:56:44"/>
    <s v="yellow_pen.jpg"/>
    <s v="green_pen.jpg"/>
    <m/>
    <m/>
    <x v="1"/>
  </r>
  <r>
    <n v="315"/>
    <x v="5"/>
    <x v="1"/>
    <m/>
    <d v="2022-05-18T09:56:54"/>
    <m/>
    <m/>
    <m/>
    <m/>
    <x v="0"/>
  </r>
  <r>
    <n v="321"/>
    <x v="5"/>
    <x v="1"/>
    <n v="0"/>
    <d v="2022-05-18T09:56:58"/>
    <s v="red_pen.jpg"/>
    <s v="green_pen.jpg"/>
    <m/>
    <m/>
    <x v="1"/>
  </r>
  <r>
    <n v="331"/>
    <x v="5"/>
    <x v="1"/>
    <m/>
    <d v="2022-05-18T09:57:08"/>
    <m/>
    <m/>
    <m/>
    <m/>
    <x v="0"/>
  </r>
  <r>
    <n v="335"/>
    <x v="5"/>
    <x v="1"/>
    <n v="2"/>
    <d v="2022-05-18T09:57:12"/>
    <s v="red_pen.jpg"/>
    <s v="green_pen.jpg"/>
    <s v="blue_pen.jpg"/>
    <m/>
    <x v="1"/>
  </r>
  <r>
    <n v="341"/>
    <x v="5"/>
    <x v="2"/>
    <m/>
    <d v="2022-05-18T09:57:21"/>
    <m/>
    <m/>
    <m/>
    <m/>
    <x v="0"/>
  </r>
  <r>
    <n v="348"/>
    <x v="5"/>
    <x v="2"/>
    <n v="3"/>
    <d v="2022-05-18T09:57:27"/>
    <s v="pen2.jpg"/>
    <s v="pen3.jpg"/>
    <s v="pen4.jpg"/>
    <s v="pen1.jpg"/>
    <x v="10"/>
  </r>
  <r>
    <n v="6"/>
    <x v="6"/>
    <x v="0"/>
    <m/>
    <d v="2022-05-18T09:51:21"/>
    <m/>
    <m/>
    <m/>
    <m/>
    <x v="0"/>
  </r>
  <r>
    <n v="13"/>
    <x v="6"/>
    <x v="0"/>
    <n v="2"/>
    <d v="2022-05-18T09:51:47"/>
    <s v="blue_pen.jpg"/>
    <s v="green_pen.jpg"/>
    <s v="red_pen.jpg"/>
    <m/>
    <x v="2"/>
  </r>
  <r>
    <n v="19"/>
    <x v="6"/>
    <x v="0"/>
    <m/>
    <d v="2022-05-18T09:51:57"/>
    <m/>
    <m/>
    <m/>
    <m/>
    <x v="0"/>
  </r>
  <r>
    <n v="41"/>
    <x v="6"/>
    <x v="0"/>
    <n v="0"/>
    <d v="2022-05-18T09:52:21"/>
    <s v="green_pen.jpg"/>
    <s v="red_pen.jpg"/>
    <m/>
    <m/>
    <x v="1"/>
  </r>
  <r>
    <n v="51"/>
    <x v="6"/>
    <x v="0"/>
    <m/>
    <d v="2022-05-18T09:52:35"/>
    <m/>
    <m/>
    <m/>
    <m/>
    <x v="0"/>
  </r>
  <r>
    <n v="60"/>
    <x v="6"/>
    <x v="0"/>
    <n v="1"/>
    <d v="2022-05-18T09:52:45"/>
    <s v="red_pen.jpg"/>
    <s v="blue_pen.jpg"/>
    <m/>
    <m/>
    <x v="3"/>
  </r>
  <r>
    <n v="64"/>
    <x v="6"/>
    <x v="0"/>
    <m/>
    <d v="2022-05-18T09:52:54"/>
    <m/>
    <m/>
    <m/>
    <m/>
    <x v="0"/>
  </r>
  <r>
    <n v="70"/>
    <x v="6"/>
    <x v="0"/>
    <n v="0"/>
    <d v="2022-05-18T09:52:57"/>
    <s v="yellow_pen.jpg"/>
    <s v="blue_pen.jpg"/>
    <m/>
    <m/>
    <x v="4"/>
  </r>
  <r>
    <n v="80"/>
    <x v="6"/>
    <x v="0"/>
    <m/>
    <d v="2022-05-18T09:53:08"/>
    <m/>
    <m/>
    <m/>
    <m/>
    <x v="0"/>
  </r>
  <r>
    <n v="95"/>
    <x v="6"/>
    <x v="0"/>
    <n v="1"/>
    <d v="2022-05-18T09:53:23"/>
    <s v="yellow_pen.jpg"/>
    <s v="green_pen.jpg"/>
    <m/>
    <m/>
    <x v="4"/>
  </r>
  <r>
    <n v="107"/>
    <x v="6"/>
    <x v="0"/>
    <m/>
    <d v="2022-05-18T09:53:34"/>
    <m/>
    <m/>
    <m/>
    <m/>
    <x v="0"/>
  </r>
  <r>
    <n v="110"/>
    <x v="6"/>
    <x v="0"/>
    <n v="0"/>
    <d v="2022-05-18T09:53:36"/>
    <s v="red_pen.jpg"/>
    <s v="yellow_pen.jpg"/>
    <m/>
    <m/>
    <x v="3"/>
  </r>
  <r>
    <n v="119"/>
    <x v="6"/>
    <x v="0"/>
    <m/>
    <d v="2022-05-18T09:53:47"/>
    <m/>
    <m/>
    <m/>
    <m/>
    <x v="0"/>
  </r>
  <r>
    <n v="124"/>
    <x v="6"/>
    <x v="0"/>
    <n v="0"/>
    <d v="2022-05-18T09:53:52"/>
    <s v="yellow_pen.jpg"/>
    <s v="red_pen.jpg"/>
    <s v="blue_pen.jpg"/>
    <m/>
    <x v="4"/>
  </r>
  <r>
    <n v="133"/>
    <x v="6"/>
    <x v="0"/>
    <m/>
    <d v="2022-05-18T09:54:01"/>
    <m/>
    <m/>
    <m/>
    <m/>
    <x v="0"/>
  </r>
  <r>
    <n v="138"/>
    <x v="6"/>
    <x v="0"/>
    <n v="0"/>
    <d v="2022-05-18T09:54:05"/>
    <s v="green_pen.jpg"/>
    <s v="yellow_pen.jpg"/>
    <s v="red_pen.jpg"/>
    <m/>
    <x v="1"/>
  </r>
  <r>
    <n v="149"/>
    <x v="6"/>
    <x v="0"/>
    <m/>
    <d v="2022-05-18T09:54:14"/>
    <m/>
    <m/>
    <m/>
    <m/>
    <x v="0"/>
  </r>
  <r>
    <n v="155"/>
    <x v="6"/>
    <x v="0"/>
    <n v="3"/>
    <d v="2022-05-18T09:54:20"/>
    <s v="red_pen.jpg"/>
    <s v="blue_pen.jpg"/>
    <s v="green_pen.jpg"/>
    <s v="yellow_pen.jpg"/>
    <x v="3"/>
  </r>
  <r>
    <n v="163"/>
    <x v="6"/>
    <x v="0"/>
    <m/>
    <d v="2022-05-18T09:54:29"/>
    <m/>
    <m/>
    <m/>
    <m/>
    <x v="0"/>
  </r>
  <r>
    <n v="168"/>
    <x v="6"/>
    <x v="0"/>
    <n v="0"/>
    <d v="2022-05-18T09:54:31"/>
    <s v="green_pen.jpg"/>
    <s v="blue_pen.jpg"/>
    <m/>
    <m/>
    <x v="1"/>
  </r>
  <r>
    <n v="177"/>
    <x v="6"/>
    <x v="0"/>
    <m/>
    <d v="2022-05-18T09:54:41"/>
    <m/>
    <m/>
    <m/>
    <m/>
    <x v="0"/>
  </r>
  <r>
    <n v="185"/>
    <x v="6"/>
    <x v="0"/>
    <n v="2"/>
    <d v="2022-05-18T09:54:47"/>
    <s v="blue_pen.jpg"/>
    <s v="yellow_pen.jpg"/>
    <s v="green_pen.jpg"/>
    <m/>
    <x v="2"/>
  </r>
  <r>
    <n v="195"/>
    <x v="6"/>
    <x v="1"/>
    <m/>
    <d v="2022-05-18T09:54:57"/>
    <m/>
    <m/>
    <m/>
    <m/>
    <x v="0"/>
  </r>
  <r>
    <n v="201"/>
    <x v="6"/>
    <x v="1"/>
    <n v="1"/>
    <d v="2022-05-18T09:55:02"/>
    <s v="yellow_pencil.jpg"/>
    <s v="orange_pencil.jpg"/>
    <m/>
    <m/>
    <x v="8"/>
  </r>
  <r>
    <n v="211"/>
    <x v="6"/>
    <x v="1"/>
    <m/>
    <d v="2022-05-18T09:55:11"/>
    <m/>
    <m/>
    <m/>
    <m/>
    <x v="0"/>
  </r>
  <r>
    <n v="216"/>
    <x v="6"/>
    <x v="1"/>
    <n v="1"/>
    <d v="2022-05-18T09:55:15"/>
    <s v="red_pencil.jpg"/>
    <s v="blue_pencil.jpg"/>
    <s v="yellow_pencil.jpg"/>
    <m/>
    <x v="6"/>
  </r>
  <r>
    <n v="226"/>
    <x v="6"/>
    <x v="1"/>
    <m/>
    <d v="2022-05-18T09:55:25"/>
    <m/>
    <m/>
    <m/>
    <m/>
    <x v="0"/>
  </r>
  <r>
    <n v="237"/>
    <x v="6"/>
    <x v="1"/>
    <n v="1"/>
    <d v="2022-05-18T09:55:35"/>
    <s v="blue_pencil.jpg"/>
    <s v="red_pencil.jpg"/>
    <s v="orange_pencil.jpg"/>
    <m/>
    <x v="7"/>
  </r>
  <r>
    <n v="254"/>
    <x v="6"/>
    <x v="1"/>
    <m/>
    <d v="2022-05-18T09:55:54"/>
    <m/>
    <m/>
    <m/>
    <m/>
    <x v="0"/>
  </r>
  <r>
    <n v="260"/>
    <x v="6"/>
    <x v="1"/>
    <n v="0"/>
    <d v="2022-05-18T09:55:57"/>
    <s v="blue_pencil.jpg"/>
    <s v="yellow_pencil.jpg"/>
    <s v="orange_pencil.jpg"/>
    <m/>
    <x v="5"/>
  </r>
  <r>
    <n v="266"/>
    <x v="6"/>
    <x v="1"/>
    <m/>
    <d v="2022-05-18T09:56:06"/>
    <m/>
    <m/>
    <m/>
    <m/>
    <x v="0"/>
  </r>
  <r>
    <n v="271"/>
    <x v="6"/>
    <x v="1"/>
    <n v="1"/>
    <d v="2022-05-18T09:56:08"/>
    <s v="red_pencil.jpg"/>
    <s v="orange_pencil.jpg"/>
    <m/>
    <m/>
    <x v="8"/>
  </r>
  <r>
    <n v="282"/>
    <x v="6"/>
    <x v="1"/>
    <m/>
    <d v="2022-05-18T09:56:23"/>
    <m/>
    <m/>
    <m/>
    <m/>
    <x v="0"/>
  </r>
  <r>
    <n v="289"/>
    <x v="6"/>
    <x v="1"/>
    <n v="0"/>
    <d v="2022-05-18T09:56:27"/>
    <s v="blue_pencil.jpg"/>
    <s v="orange_pencil.jpg"/>
    <m/>
    <m/>
    <x v="8"/>
  </r>
  <r>
    <n v="298"/>
    <x v="6"/>
    <x v="1"/>
    <m/>
    <d v="2022-05-18T09:56:40"/>
    <m/>
    <m/>
    <m/>
    <m/>
    <x v="0"/>
  </r>
  <r>
    <n v="305"/>
    <x v="6"/>
    <x v="1"/>
    <n v="1"/>
    <d v="2022-05-18T09:56:42"/>
    <s v="blue_pencil.jpg"/>
    <s v="red_pencil.jpg"/>
    <m/>
    <m/>
    <x v="7"/>
  </r>
  <r>
    <n v="314"/>
    <x v="6"/>
    <x v="1"/>
    <m/>
    <d v="2022-05-18T09:56:54"/>
    <m/>
    <m/>
    <m/>
    <m/>
    <x v="0"/>
  </r>
  <r>
    <n v="318"/>
    <x v="6"/>
    <x v="1"/>
    <n v="0"/>
    <d v="2022-05-18T09:56:57"/>
    <s v="yellow_pencil.jpg"/>
    <s v="blue_pencil.jpg"/>
    <m/>
    <m/>
    <x v="6"/>
  </r>
  <r>
    <n v="329"/>
    <x v="6"/>
    <x v="1"/>
    <m/>
    <d v="2022-05-18T09:57:07"/>
    <m/>
    <m/>
    <m/>
    <m/>
    <x v="0"/>
  </r>
  <r>
    <n v="333"/>
    <x v="6"/>
    <x v="1"/>
    <n v="2"/>
    <d v="2022-05-18T09:57:11"/>
    <s v="yellow_pencil.jpg"/>
    <s v="red_pencil.jpg"/>
    <s v="orange_pencil.jpg"/>
    <m/>
    <x v="7"/>
  </r>
  <r>
    <n v="343"/>
    <x v="6"/>
    <x v="1"/>
    <m/>
    <d v="2022-05-18T09:57:22"/>
    <m/>
    <m/>
    <m/>
    <m/>
    <x v="0"/>
  </r>
  <r>
    <n v="346"/>
    <x v="6"/>
    <x v="1"/>
    <n v="0"/>
    <d v="2022-05-18T09:57:26"/>
    <s v="blue_pencil.jpg"/>
    <s v="red_pencil.jpg"/>
    <s v="yellow_pencil.jpg"/>
    <s v="orange_pencil.jpg"/>
    <x v="7"/>
  </r>
  <r>
    <n v="352"/>
    <x v="6"/>
    <x v="1"/>
    <m/>
    <d v="2022-05-18T09:57:37"/>
    <m/>
    <m/>
    <m/>
    <m/>
    <x v="0"/>
  </r>
  <r>
    <n v="354"/>
    <x v="6"/>
    <x v="1"/>
    <n v="1"/>
    <d v="2022-05-18T09:57:39"/>
    <s v="yellow_pencil.jpg"/>
    <s v="red_pencil.jpg"/>
    <m/>
    <m/>
    <x v="7"/>
  </r>
  <r>
    <n v="358"/>
    <x v="6"/>
    <x v="2"/>
    <m/>
    <d v="2022-05-18T09:57:48"/>
    <m/>
    <m/>
    <m/>
    <m/>
    <x v="0"/>
  </r>
  <r>
    <n v="360"/>
    <x v="6"/>
    <x v="2"/>
    <n v="1"/>
    <d v="2022-05-18T09:57:52"/>
    <s v="pen3.jpg"/>
    <s v="pen4.jpg"/>
    <s v="pen1.jpg"/>
    <s v="pen2.jpg"/>
    <x v="11"/>
  </r>
  <r>
    <n v="12"/>
    <x v="7"/>
    <x v="0"/>
    <m/>
    <d v="2022-05-18T09:51:44"/>
    <m/>
    <m/>
    <m/>
    <m/>
    <x v="0"/>
  </r>
  <r>
    <n v="26"/>
    <x v="7"/>
    <x v="0"/>
    <n v="1"/>
    <d v="2022-05-18T09:52:06"/>
    <s v="orange_pencil.jpg"/>
    <s v="yellow_pencil.jpg"/>
    <s v="blue_pencil.jpg"/>
    <m/>
    <x v="8"/>
  </r>
  <r>
    <n v="37"/>
    <x v="7"/>
    <x v="0"/>
    <m/>
    <d v="2022-05-18T09:52:19"/>
    <m/>
    <m/>
    <m/>
    <m/>
    <x v="0"/>
  </r>
  <r>
    <n v="47"/>
    <x v="7"/>
    <x v="0"/>
    <n v="1"/>
    <d v="2022-05-18T09:52:30"/>
    <s v="orange_pencil.jpg"/>
    <s v="red_pencil.jpg"/>
    <m/>
    <m/>
    <x v="8"/>
  </r>
  <r>
    <n v="58"/>
    <x v="7"/>
    <x v="0"/>
    <m/>
    <d v="2022-05-18T09:52:45"/>
    <m/>
    <m/>
    <m/>
    <m/>
    <x v="0"/>
  </r>
  <r>
    <n v="75"/>
    <x v="7"/>
    <x v="0"/>
    <n v="0"/>
    <d v="2022-05-18T09:53:02"/>
    <s v="red_pencil.jpg"/>
    <s v="blue_pencil.jpg"/>
    <m/>
    <m/>
    <x v="7"/>
  </r>
  <r>
    <n v="85"/>
    <x v="7"/>
    <x v="0"/>
    <m/>
    <d v="2022-05-18T09:53:12"/>
    <m/>
    <m/>
    <m/>
    <m/>
    <x v="0"/>
  </r>
  <r>
    <n v="89"/>
    <x v="7"/>
    <x v="0"/>
    <n v="1"/>
    <d v="2022-05-18T09:53:18"/>
    <s v="orange_pencil.jpg"/>
    <s v="yellow_pencil.jpg"/>
    <m/>
    <m/>
    <x v="8"/>
  </r>
  <r>
    <n v="100"/>
    <x v="7"/>
    <x v="0"/>
    <m/>
    <d v="2022-05-18T09:53:29"/>
    <m/>
    <m/>
    <m/>
    <m/>
    <x v="0"/>
  </r>
  <r>
    <n v="123"/>
    <x v="7"/>
    <x v="0"/>
    <n v="1"/>
    <d v="2022-05-18T09:53:52"/>
    <s v="blue_pencil.jpg"/>
    <s v="yellow_pencil.jpg"/>
    <s v="red_pencil.jpg"/>
    <m/>
    <x v="6"/>
  </r>
  <r>
    <n v="134"/>
    <x v="7"/>
    <x v="0"/>
    <m/>
    <d v="2022-05-18T09:54:02"/>
    <m/>
    <m/>
    <m/>
    <m/>
    <x v="0"/>
  </r>
  <r>
    <n v="143"/>
    <x v="7"/>
    <x v="0"/>
    <n v="1"/>
    <d v="2022-05-18T09:54:08"/>
    <s v="blue_pencil.jpg"/>
    <s v="orange_pencil.jpg"/>
    <m/>
    <m/>
    <x v="6"/>
  </r>
  <r>
    <n v="153"/>
    <x v="7"/>
    <x v="0"/>
    <m/>
    <d v="2022-05-18T09:54:18"/>
    <m/>
    <m/>
    <m/>
    <m/>
    <x v="0"/>
  </r>
  <r>
    <n v="157"/>
    <x v="7"/>
    <x v="0"/>
    <n v="0"/>
    <d v="2022-05-18T09:54:21"/>
    <s v="yellow_pencil.jpg"/>
    <s v="blue_pencil.jpg"/>
    <m/>
    <m/>
    <x v="5"/>
  </r>
  <r>
    <n v="167"/>
    <x v="7"/>
    <x v="0"/>
    <m/>
    <d v="2022-05-18T09:54:30"/>
    <m/>
    <m/>
    <m/>
    <m/>
    <x v="0"/>
  </r>
  <r>
    <n v="178"/>
    <x v="7"/>
    <x v="0"/>
    <n v="2"/>
    <d v="2022-05-18T09:54:42"/>
    <s v="blue_pencil.jpg"/>
    <s v="orange_pencil.jpg"/>
    <s v="yellow_pencil.jpg"/>
    <s v="red_pencil.jpg"/>
    <x v="6"/>
  </r>
  <r>
    <n v="186"/>
    <x v="7"/>
    <x v="0"/>
    <m/>
    <d v="2022-05-18T09:54:51"/>
    <m/>
    <m/>
    <m/>
    <m/>
    <x v="0"/>
  </r>
  <r>
    <n v="196"/>
    <x v="7"/>
    <x v="0"/>
    <n v="0"/>
    <d v="2022-05-18T09:54:59"/>
    <s v="yellow_pencil.jpg"/>
    <s v="orange_pencil.jpg"/>
    <s v="red_pencil.jpg"/>
    <m/>
    <x v="5"/>
  </r>
  <r>
    <n v="207"/>
    <x v="7"/>
    <x v="0"/>
    <m/>
    <d v="2022-05-18T09:55:08"/>
    <m/>
    <m/>
    <m/>
    <m/>
    <x v="0"/>
  </r>
  <r>
    <n v="212"/>
    <x v="7"/>
    <x v="0"/>
    <n v="1"/>
    <d v="2022-05-18T09:55:12"/>
    <s v="blue_pencil.jpg"/>
    <s v="red_pencil.jpg"/>
    <s v="orange_pencil.jpg"/>
    <m/>
    <x v="6"/>
  </r>
  <r>
    <n v="224"/>
    <x v="7"/>
    <x v="0"/>
    <m/>
    <d v="2022-05-18T09:55:23"/>
    <m/>
    <m/>
    <m/>
    <m/>
    <x v="0"/>
  </r>
  <r>
    <n v="235"/>
    <x v="7"/>
    <x v="0"/>
    <n v="0"/>
    <d v="2022-05-18T09:55:32"/>
    <s v="yellow_pencil.jpg"/>
    <s v="red_pencil.jpg"/>
    <m/>
    <m/>
    <x v="5"/>
  </r>
  <r>
    <n v="245"/>
    <x v="7"/>
    <x v="1"/>
    <m/>
    <d v="2022-05-18T09:55:43"/>
    <m/>
    <m/>
    <m/>
    <m/>
    <x v="0"/>
  </r>
  <r>
    <n v="268"/>
    <x v="7"/>
    <x v="1"/>
    <n v="0"/>
    <d v="2022-05-18T09:56:08"/>
    <s v="yellow_pen.jpg"/>
    <s v="red_pen.jpg"/>
    <m/>
    <m/>
    <x v="3"/>
  </r>
  <r>
    <n v="279"/>
    <x v="7"/>
    <x v="1"/>
    <m/>
    <d v="2022-05-18T09:56:17"/>
    <m/>
    <m/>
    <m/>
    <m/>
    <x v="0"/>
  </r>
  <r>
    <n v="286"/>
    <x v="7"/>
    <x v="1"/>
    <n v="0"/>
    <d v="2022-05-18T09:56:24"/>
    <s v="yellow_pen.jpg"/>
    <s v="green_pen.jpg"/>
    <s v="red_pen.jpg"/>
    <s v="blue_pen.jpg"/>
    <x v="1"/>
  </r>
  <r>
    <n v="303"/>
    <x v="7"/>
    <x v="1"/>
    <m/>
    <d v="2022-05-18T09:56:42"/>
    <m/>
    <m/>
    <m/>
    <m/>
    <x v="0"/>
  </r>
  <r>
    <n v="309"/>
    <x v="7"/>
    <x v="1"/>
    <n v="2"/>
    <d v="2022-05-18T09:56:47"/>
    <s v="green_pen.jpg"/>
    <s v="blue_pen.jpg"/>
    <s v="yellow_pen.jpg"/>
    <m/>
    <x v="2"/>
  </r>
  <r>
    <n v="320"/>
    <x v="7"/>
    <x v="1"/>
    <m/>
    <d v="2022-05-18T09:56:58"/>
    <m/>
    <m/>
    <m/>
    <m/>
    <x v="0"/>
  </r>
  <r>
    <n v="328"/>
    <x v="7"/>
    <x v="1"/>
    <n v="0"/>
    <d v="2022-05-18T09:57:05"/>
    <s v="yellow_pen.jpg"/>
    <s v="red_pen.jpg"/>
    <s v="green_pen.jpg"/>
    <m/>
    <x v="3"/>
  </r>
  <r>
    <n v="336"/>
    <x v="7"/>
    <x v="1"/>
    <m/>
    <d v="2022-05-18T09:57:13"/>
    <m/>
    <m/>
    <m/>
    <m/>
    <x v="0"/>
  </r>
  <r>
    <n v="340"/>
    <x v="7"/>
    <x v="1"/>
    <n v="1"/>
    <d v="2022-05-18T09:57:17"/>
    <s v="red_pen.jpg"/>
    <s v="yellow_pen.jpg"/>
    <s v="blue_pen.jpg"/>
    <m/>
    <x v="4"/>
  </r>
  <r>
    <n v="347"/>
    <x v="7"/>
    <x v="1"/>
    <m/>
    <d v="2022-05-18T09:57:27"/>
    <m/>
    <m/>
    <m/>
    <m/>
    <x v="0"/>
  </r>
  <r>
    <n v="356"/>
    <x v="7"/>
    <x v="1"/>
    <n v="0"/>
    <d v="2022-05-18T09:57:46"/>
    <s v="blue_pen.jpg"/>
    <s v="green_pen.jpg"/>
    <s v="red_pen.jpg"/>
    <m/>
    <x v="1"/>
  </r>
  <r>
    <n v="362"/>
    <x v="7"/>
    <x v="1"/>
    <m/>
    <d v="2022-05-18T09:57:57"/>
    <m/>
    <m/>
    <m/>
    <m/>
    <x v="0"/>
  </r>
  <r>
    <n v="365"/>
    <x v="7"/>
    <x v="1"/>
    <n v="0"/>
    <d v="2022-05-18T09:58:11"/>
    <s v="blue_pen.jpg"/>
    <s v="green_pen.jpg"/>
    <m/>
    <m/>
    <x v="1"/>
  </r>
  <r>
    <n v="368"/>
    <x v="7"/>
    <x v="1"/>
    <m/>
    <d v="2022-05-18T09:58:21"/>
    <m/>
    <m/>
    <m/>
    <m/>
    <x v="0"/>
  </r>
  <r>
    <n v="370"/>
    <x v="7"/>
    <x v="1"/>
    <n v="0"/>
    <d v="2022-05-18T09:58:32"/>
    <s v="blue_pen.jpg"/>
    <s v="red_pen.jpg"/>
    <m/>
    <m/>
    <x v="3"/>
  </r>
  <r>
    <n v="372"/>
    <x v="7"/>
    <x v="1"/>
    <m/>
    <d v="2022-05-18T09:58:48"/>
    <m/>
    <m/>
    <m/>
    <m/>
    <x v="0"/>
  </r>
  <r>
    <n v="373"/>
    <x v="7"/>
    <x v="1"/>
    <n v="0"/>
    <d v="2022-05-18T09:59:02"/>
    <s v="yellow_pen.jpg"/>
    <s v="blue_pen.jpg"/>
    <m/>
    <m/>
    <x v="2"/>
  </r>
  <r>
    <n v="374"/>
    <x v="7"/>
    <x v="1"/>
    <m/>
    <d v="2022-05-18T09:59:13"/>
    <m/>
    <m/>
    <m/>
    <m/>
    <x v="0"/>
  </r>
  <r>
    <n v="375"/>
    <x v="7"/>
    <x v="1"/>
    <n v="0"/>
    <d v="2022-05-18T09:59:25"/>
    <s v="red_pen.jpg"/>
    <s v="green_pen.jpg"/>
    <m/>
    <m/>
    <x v="1"/>
  </r>
  <r>
    <n v="376"/>
    <x v="7"/>
    <x v="1"/>
    <m/>
    <d v="2022-05-18T09:59:36"/>
    <m/>
    <m/>
    <m/>
    <m/>
    <x v="0"/>
  </r>
  <r>
    <n v="377"/>
    <x v="7"/>
    <x v="1"/>
    <n v="0"/>
    <d v="2022-05-18T09:59:39"/>
    <s v="yellow_pen.jpg"/>
    <s v="green_pen.jpg"/>
    <m/>
    <m/>
    <x v="1"/>
  </r>
  <r>
    <n v="378"/>
    <x v="7"/>
    <x v="2"/>
    <m/>
    <d v="2022-05-18T09:59:48"/>
    <m/>
    <m/>
    <m/>
    <m/>
    <x v="0"/>
  </r>
  <r>
    <n v="379"/>
    <x v="7"/>
    <x v="2"/>
    <n v="0"/>
    <d v="2022-05-18T10:00:14"/>
    <s v="pen2.jpg"/>
    <s v="pen1.jpg"/>
    <s v="pen4.jpg"/>
    <s v="pen3.jpg"/>
    <x v="10"/>
  </r>
  <r>
    <m/>
    <x v="8"/>
    <x v="3"/>
    <m/>
    <m/>
    <m/>
    <m/>
    <m/>
    <m/>
    <x v="12"/>
  </r>
  <r>
    <m/>
    <x v="8"/>
    <x v="3"/>
    <m/>
    <m/>
    <m/>
    <m/>
    <m/>
    <m/>
    <x v="0"/>
  </r>
  <r>
    <m/>
    <x v="8"/>
    <x v="3"/>
    <m/>
    <m/>
    <m/>
    <m/>
    <m/>
    <m/>
    <x v="0"/>
  </r>
  <r>
    <m/>
    <x v="8"/>
    <x v="3"/>
    <m/>
    <m/>
    <m/>
    <m/>
    <m/>
    <m/>
    <x v="0"/>
  </r>
  <r>
    <m/>
    <x v="8"/>
    <x v="3"/>
    <m/>
    <m/>
    <m/>
    <m/>
    <m/>
    <m/>
    <x v="0"/>
  </r>
  <r>
    <m/>
    <x v="8"/>
    <x v="3"/>
    <m/>
    <m/>
    <m/>
    <m/>
    <m/>
    <m/>
    <x v="0"/>
  </r>
  <r>
    <m/>
    <x v="8"/>
    <x v="3"/>
    <m/>
    <m/>
    <m/>
    <m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F12" firstHeaderRow="1" firstDataRow="2" firstDataCol="1" rowPageCount="1" colPageCount="1"/>
  <pivotFields count="10">
    <pivotField showAll="0"/>
    <pivotField axis="axisRow" showAll="0">
      <items count="10">
        <item h="1" x="0"/>
        <item x="1"/>
        <item x="2"/>
        <item x="3"/>
        <item x="4"/>
        <item x="5"/>
        <item x="6"/>
        <item x="7"/>
        <item x="8"/>
        <item t="default"/>
      </items>
    </pivotField>
    <pivotField axis="axisPage" multipleItemSelectionAllowed="1" showAll="0">
      <items count="5">
        <item x="0"/>
        <item x="1"/>
        <item h="1"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axis="axisCol" dataField="1" showAll="0">
      <items count="14">
        <item h="1" x="12"/>
        <item x="2"/>
        <item h="1" x="6"/>
        <item x="1"/>
        <item h="1" x="8"/>
        <item h="1" x="11"/>
        <item h="1" x="9"/>
        <item h="1" x="10"/>
        <item x="3"/>
        <item h="1" x="7"/>
        <item x="4"/>
        <item h="1" x="5"/>
        <item h="1" x="0"/>
        <item t="default"/>
      </items>
    </pivotField>
  </pivotFields>
  <rowFields count="1">
    <field x="1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9"/>
  </colFields>
  <colItems count="5">
    <i>
      <x v="1"/>
    </i>
    <i>
      <x v="3"/>
    </i>
    <i>
      <x v="8"/>
    </i>
    <i>
      <x v="10"/>
    </i>
    <i t="grand">
      <x/>
    </i>
  </colItems>
  <pageFields count="1">
    <pageField fld="2" hier="-1"/>
  </pageFields>
  <dataFields count="1">
    <dataField name="Count of Alternatives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workbookViewId="0">
      <selection activeCell="H15" sqref="H15"/>
    </sheetView>
  </sheetViews>
  <sheetFormatPr defaultRowHeight="15" x14ac:dyDescent="0.25"/>
  <cols>
    <col min="1" max="1" width="20.140625" bestFit="1" customWidth="1"/>
    <col min="2" max="2" width="17.85546875" bestFit="1" customWidth="1"/>
    <col min="3" max="3" width="14" bestFit="1" customWidth="1"/>
    <col min="4" max="4" width="11.7109375" bestFit="1" customWidth="1"/>
    <col min="5" max="5" width="14.85546875" bestFit="1" customWidth="1"/>
    <col min="6" max="6" width="11.28515625" bestFit="1" customWidth="1"/>
    <col min="7" max="7" width="13.85546875" bestFit="1" customWidth="1"/>
    <col min="8" max="8" width="14.85546875" bestFit="1" customWidth="1"/>
    <col min="9" max="9" width="16.85546875" bestFit="1" customWidth="1"/>
    <col min="10" max="10" width="7.28515625" bestFit="1" customWidth="1"/>
    <col min="11" max="12" width="11.28515625" bestFit="1" customWidth="1"/>
    <col min="13" max="13" width="14.85546875" bestFit="1" customWidth="1"/>
    <col min="14" max="14" width="16.85546875" bestFit="1" customWidth="1"/>
    <col min="15" max="15" width="7.28515625" bestFit="1" customWidth="1"/>
    <col min="16" max="16" width="11.28515625" bestFit="1" customWidth="1"/>
  </cols>
  <sheetData>
    <row r="1" spans="1:15" x14ac:dyDescent="0.25">
      <c r="A1" s="2" t="s">
        <v>2</v>
      </c>
      <c r="B1" t="s">
        <v>26</v>
      </c>
    </row>
    <row r="3" spans="1:15" x14ac:dyDescent="0.25">
      <c r="A3" s="2" t="s">
        <v>25</v>
      </c>
      <c r="B3" s="2" t="s">
        <v>24</v>
      </c>
    </row>
    <row r="4" spans="1:15" x14ac:dyDescent="0.25">
      <c r="A4" s="2" t="s">
        <v>22</v>
      </c>
      <c r="B4" t="s">
        <v>10</v>
      </c>
      <c r="C4" t="s">
        <v>9</v>
      </c>
      <c r="D4" t="s">
        <v>11</v>
      </c>
      <c r="E4" t="s">
        <v>13</v>
      </c>
      <c r="F4" t="s">
        <v>23</v>
      </c>
    </row>
    <row r="5" spans="1:15" x14ac:dyDescent="0.25">
      <c r="A5" s="3">
        <v>2</v>
      </c>
      <c r="B5" s="4">
        <v>5</v>
      </c>
      <c r="C5" s="4">
        <v>2</v>
      </c>
      <c r="D5" s="4">
        <v>4</v>
      </c>
      <c r="E5" s="4"/>
      <c r="F5" s="4">
        <v>11</v>
      </c>
      <c r="G5" s="4">
        <v>5</v>
      </c>
      <c r="H5" s="4">
        <v>4</v>
      </c>
      <c r="I5" s="4">
        <v>3</v>
      </c>
      <c r="J5" s="4">
        <v>3</v>
      </c>
      <c r="K5" s="4">
        <v>5</v>
      </c>
      <c r="L5" s="4">
        <v>4</v>
      </c>
      <c r="M5" s="4">
        <v>4</v>
      </c>
      <c r="N5" s="4">
        <v>3</v>
      </c>
    </row>
    <row r="6" spans="1:15" x14ac:dyDescent="0.25">
      <c r="A6" s="3">
        <v>3</v>
      </c>
      <c r="B6" s="4">
        <v>2</v>
      </c>
      <c r="C6" s="4">
        <v>3</v>
      </c>
      <c r="D6" s="4">
        <v>3</v>
      </c>
      <c r="E6" s="4">
        <v>3</v>
      </c>
      <c r="F6" s="4">
        <v>11</v>
      </c>
      <c r="G6" s="4">
        <v>3</v>
      </c>
      <c r="H6" s="4">
        <v>3</v>
      </c>
      <c r="I6" s="4">
        <v>5</v>
      </c>
      <c r="J6" s="4">
        <v>5</v>
      </c>
      <c r="K6" s="4">
        <v>4</v>
      </c>
      <c r="L6" s="4">
        <v>4</v>
      </c>
      <c r="M6" s="4">
        <v>4</v>
      </c>
      <c r="N6" s="4">
        <v>5</v>
      </c>
    </row>
    <row r="7" spans="1:15" x14ac:dyDescent="0.25">
      <c r="A7" s="3">
        <v>4</v>
      </c>
      <c r="B7" s="4">
        <v>5</v>
      </c>
      <c r="C7" s="4">
        <v>1</v>
      </c>
      <c r="D7" s="4">
        <v>2</v>
      </c>
      <c r="E7" s="4">
        <v>3</v>
      </c>
      <c r="F7" s="4">
        <v>11</v>
      </c>
      <c r="G7" s="4">
        <v>3</v>
      </c>
      <c r="H7" s="4">
        <v>5</v>
      </c>
      <c r="I7" s="4">
        <v>3</v>
      </c>
      <c r="J7" s="4">
        <v>4</v>
      </c>
      <c r="K7" s="4">
        <v>4</v>
      </c>
      <c r="L7" s="4">
        <v>3</v>
      </c>
      <c r="M7" s="4">
        <v>5</v>
      </c>
      <c r="N7" s="4">
        <v>4</v>
      </c>
    </row>
    <row r="8" spans="1:15" x14ac:dyDescent="0.25">
      <c r="A8" s="3">
        <v>5</v>
      </c>
      <c r="B8" s="4">
        <v>3</v>
      </c>
      <c r="C8" s="4">
        <v>3</v>
      </c>
      <c r="D8" s="4">
        <v>1</v>
      </c>
      <c r="E8" s="4">
        <v>4</v>
      </c>
      <c r="F8" s="4">
        <v>11</v>
      </c>
      <c r="G8" s="4">
        <v>1</v>
      </c>
      <c r="H8" s="4">
        <v>1</v>
      </c>
      <c r="I8" s="4">
        <v>5</v>
      </c>
      <c r="J8" s="4">
        <v>5</v>
      </c>
      <c r="K8" s="4">
        <v>5</v>
      </c>
      <c r="L8" s="4">
        <v>5</v>
      </c>
      <c r="M8" s="4">
        <v>5</v>
      </c>
      <c r="N8" s="4">
        <v>5</v>
      </c>
    </row>
    <row r="9" spans="1:15" x14ac:dyDescent="0.25">
      <c r="A9" s="3">
        <v>6</v>
      </c>
      <c r="B9" s="4"/>
      <c r="C9" s="4">
        <v>6</v>
      </c>
      <c r="D9" s="4">
        <v>2</v>
      </c>
      <c r="E9" s="4">
        <v>3</v>
      </c>
      <c r="F9" s="4">
        <v>11</v>
      </c>
      <c r="G9" s="4">
        <v>5</v>
      </c>
      <c r="H9" s="4">
        <v>2</v>
      </c>
      <c r="I9" s="4">
        <v>5</v>
      </c>
      <c r="J9" s="4">
        <v>4</v>
      </c>
      <c r="K9" s="4">
        <v>5</v>
      </c>
      <c r="L9" s="4">
        <v>5</v>
      </c>
      <c r="M9" s="4">
        <v>4</v>
      </c>
      <c r="N9" s="4">
        <v>5</v>
      </c>
      <c r="O9" s="4"/>
    </row>
    <row r="10" spans="1:15" x14ac:dyDescent="0.25">
      <c r="A10" s="3">
        <v>7</v>
      </c>
      <c r="B10" s="4">
        <v>2</v>
      </c>
      <c r="C10" s="4">
        <v>3</v>
      </c>
      <c r="D10" s="4">
        <v>3</v>
      </c>
      <c r="E10" s="4">
        <v>3</v>
      </c>
      <c r="F10" s="4">
        <v>11</v>
      </c>
      <c r="G10" s="4">
        <v>5</v>
      </c>
      <c r="H10" s="4">
        <v>4</v>
      </c>
      <c r="I10" s="4">
        <v>3</v>
      </c>
      <c r="J10" s="4">
        <v>5</v>
      </c>
      <c r="K10" s="4">
        <v>4</v>
      </c>
      <c r="L10" s="4">
        <v>4</v>
      </c>
      <c r="M10" s="4">
        <v>5</v>
      </c>
      <c r="N10" s="4">
        <v>5</v>
      </c>
    </row>
    <row r="11" spans="1:15" x14ac:dyDescent="0.25">
      <c r="A11" s="3">
        <v>12</v>
      </c>
      <c r="B11" s="4">
        <v>2</v>
      </c>
      <c r="C11" s="4">
        <v>5</v>
      </c>
      <c r="D11" s="4">
        <v>3</v>
      </c>
      <c r="E11" s="4">
        <v>1</v>
      </c>
      <c r="F11" s="4">
        <v>11</v>
      </c>
      <c r="G11" s="4">
        <v>3</v>
      </c>
      <c r="H11" s="4">
        <v>3</v>
      </c>
      <c r="I11" s="4">
        <v>4</v>
      </c>
      <c r="J11" s="4">
        <v>5</v>
      </c>
      <c r="K11" s="4">
        <v>3</v>
      </c>
      <c r="L11" s="4">
        <v>2</v>
      </c>
      <c r="M11" s="4">
        <v>4</v>
      </c>
      <c r="N11" s="4">
        <v>5</v>
      </c>
    </row>
    <row r="12" spans="1:15" x14ac:dyDescent="0.25">
      <c r="A12" s="3" t="s">
        <v>23</v>
      </c>
      <c r="B12" s="4">
        <v>19</v>
      </c>
      <c r="C12" s="4">
        <v>23</v>
      </c>
      <c r="D12" s="4">
        <v>18</v>
      </c>
      <c r="E12" s="4">
        <v>17</v>
      </c>
      <c r="F12" s="4">
        <v>77</v>
      </c>
      <c r="N12" t="s">
        <v>43</v>
      </c>
    </row>
    <row r="16" spans="1:15" x14ac:dyDescent="0.25">
      <c r="K16">
        <f>CORREL(G5:J11,K5:N11)</f>
        <v>6.3833399457085813E-2</v>
      </c>
    </row>
    <row r="20" spans="1:6" x14ac:dyDescent="0.25">
      <c r="A20" t="s">
        <v>27</v>
      </c>
      <c r="F20" t="s">
        <v>35</v>
      </c>
    </row>
    <row r="22" spans="1:6" x14ac:dyDescent="0.25">
      <c r="A22" t="s">
        <v>28</v>
      </c>
      <c r="F22" t="s">
        <v>36</v>
      </c>
    </row>
    <row r="24" spans="1:6" x14ac:dyDescent="0.25">
      <c r="A24" t="s">
        <v>29</v>
      </c>
      <c r="F24" t="s">
        <v>37</v>
      </c>
    </row>
    <row r="26" spans="1:6" x14ac:dyDescent="0.25">
      <c r="A26" t="s">
        <v>30</v>
      </c>
      <c r="F26" t="s">
        <v>38</v>
      </c>
    </row>
    <row r="28" spans="1:6" x14ac:dyDescent="0.25">
      <c r="A28" t="s">
        <v>31</v>
      </c>
      <c r="F28" t="s">
        <v>39</v>
      </c>
    </row>
    <row r="30" spans="1:6" x14ac:dyDescent="0.25">
      <c r="A30" t="s">
        <v>32</v>
      </c>
      <c r="F30" t="s">
        <v>40</v>
      </c>
    </row>
    <row r="32" spans="1:6" x14ac:dyDescent="0.25">
      <c r="A32" t="s">
        <v>33</v>
      </c>
      <c r="F32" t="s">
        <v>41</v>
      </c>
    </row>
    <row r="34" spans="1:6" x14ac:dyDescent="0.25">
      <c r="A34" t="s">
        <v>34</v>
      </c>
      <c r="F34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S324"/>
  <sheetViews>
    <sheetView topLeftCell="A267" workbookViewId="0">
      <selection activeCell="O2" sqref="O2:T156"/>
    </sheetView>
  </sheetViews>
  <sheetFormatPr defaultRowHeight="15" x14ac:dyDescent="0.25"/>
  <cols>
    <col min="6" max="6" width="10.5703125" bestFit="1" customWidth="1"/>
    <col min="7" max="7" width="8.85546875" style="7"/>
    <col min="8" max="8" width="23.28515625" customWidth="1"/>
    <col min="9" max="11" width="20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49</v>
      </c>
      <c r="F1" t="s">
        <v>46</v>
      </c>
      <c r="G1" s="7" t="s">
        <v>47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</row>
    <row r="2" spans="1:19" hidden="1" x14ac:dyDescent="0.25">
      <c r="A2">
        <v>2</v>
      </c>
      <c r="B2">
        <v>2</v>
      </c>
      <c r="C2">
        <v>0</v>
      </c>
      <c r="F2" s="5">
        <v>44699</v>
      </c>
      <c r="G2" s="1">
        <v>0.41061342592592592</v>
      </c>
    </row>
    <row r="3" spans="1:19" x14ac:dyDescent="0.25">
      <c r="A3">
        <v>8</v>
      </c>
      <c r="B3">
        <v>2</v>
      </c>
      <c r="C3">
        <v>0</v>
      </c>
      <c r="D3">
        <v>0</v>
      </c>
      <c r="F3" s="5">
        <v>44699</v>
      </c>
      <c r="G3" s="7">
        <v>0.41085648148148146</v>
      </c>
      <c r="H3" t="s">
        <v>15</v>
      </c>
      <c r="I3" t="s">
        <v>17</v>
      </c>
      <c r="L3" t="str">
        <f>IF(C3=0,H3,IF(C3=1,I3,IF(C3=2,J3,IF(C3=3,K3))))</f>
        <v>orange_pencil.jpg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3</v>
      </c>
      <c r="P3">
        <f t="shared" ref="P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Q3">
        <f t="shared" ref="Q3" si="1">IF(J3="yellow_pencil.jpg",1,IF(J3="red_pencil.jpg",2,IF(J3="orange_pencil.jpg",3,IF(J3="blue_pencil.jpg",4,IF(J3="yellow_pen.jpg",5,IF(J3="red_pen.jpg",6,IF(J3="blue_pen.jpg",7,IF(J3="green_pen.jpg",8,IF(J3="pen1.jpg",9,IF(J3="pen2.jpg",10,IF(J3="pen3.jpg",11,IF(J3="pen4.jpg",12,0))))))))))))</f>
        <v>0</v>
      </c>
      <c r="R3">
        <f t="shared" ref="R3" si="2">IF(K3="yellow_pencil.jpg",1,IF(K3="red_pencil.jpg",2,IF(K3="orange_pencil.jpg",3,IF(K3="blue_pencil.jpg",4,IF(K3="yellow_pen.jpg",5,IF(K3="red_pen.jpg",6,IF(K3="blue_pen.jpg",7,IF(K3="green_pen.jpg",8,IF(K3="pen1.jpg",9,IF(K3="pen2.jpg",10,IF(K3="pen3.jpg",11,IF(K3="pen4.jpg",12,0))))))))))))</f>
        <v>0</v>
      </c>
      <c r="S3">
        <f t="shared" ref="S3" si="3">IF(L3="yellow_pencil.jpg",1,IF(L3="red_pencil.jpg",2,IF(L3="orange_pencil.jpg",3,IF(L3="blue_pencil.jpg",4,IF(L3="yellow_pen.jpg",5,IF(L3="red_pen.jpg",6,IF(L3="blue_pen.jpg",7,IF(L3="green_pen.jpg",8,IF(L3="pen1.jpg",9,IF(L3="pen2.jpg",10,IF(L3="pen3.jpg",11,IF(L3="pen4.jpg",12,0))))))))))))</f>
        <v>3</v>
      </c>
    </row>
    <row r="4" spans="1:19" hidden="1" x14ac:dyDescent="0.25">
      <c r="A4">
        <v>14</v>
      </c>
      <c r="B4">
        <v>2</v>
      </c>
      <c r="C4">
        <v>0</v>
      </c>
      <c r="F4" s="5">
        <v>44699</v>
      </c>
      <c r="G4" s="1">
        <v>0.41097222222222224</v>
      </c>
    </row>
    <row r="5" spans="1:19" x14ac:dyDescent="0.25">
      <c r="A5">
        <v>20</v>
      </c>
      <c r="B5">
        <v>2</v>
      </c>
      <c r="C5">
        <v>0</v>
      </c>
      <c r="D5">
        <v>2</v>
      </c>
      <c r="F5" s="5">
        <v>44699</v>
      </c>
      <c r="G5" s="7">
        <v>0.41108796296296296</v>
      </c>
      <c r="H5" t="s">
        <v>16</v>
      </c>
      <c r="I5" t="s">
        <v>17</v>
      </c>
      <c r="J5" t="s">
        <v>15</v>
      </c>
      <c r="L5" t="str">
        <f>IF(C5=0,H5,IF(C5=1,I5,IF(C5=2,J5,IF(C5=3,K5))))</f>
        <v>red_pencil.jpg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2</v>
      </c>
      <c r="P5">
        <f t="shared" ref="P5" si="4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Q5">
        <f t="shared" ref="Q5" si="5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3</v>
      </c>
      <c r="R5">
        <f t="shared" ref="R5" si="6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7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2</v>
      </c>
    </row>
    <row r="6" spans="1:19" hidden="1" x14ac:dyDescent="0.25">
      <c r="A6">
        <v>28</v>
      </c>
      <c r="B6">
        <v>2</v>
      </c>
      <c r="C6">
        <v>0</v>
      </c>
      <c r="F6" s="5">
        <v>44699</v>
      </c>
      <c r="G6" s="1">
        <v>0.41120370370370374</v>
      </c>
    </row>
    <row r="7" spans="1:19" x14ac:dyDescent="0.25">
      <c r="A7">
        <v>31</v>
      </c>
      <c r="B7">
        <v>2</v>
      </c>
      <c r="C7">
        <v>0</v>
      </c>
      <c r="D7">
        <v>2</v>
      </c>
      <c r="F7" s="5">
        <v>44699</v>
      </c>
      <c r="G7" s="7">
        <v>0.41123842592592591</v>
      </c>
      <c r="H7" t="s">
        <v>17</v>
      </c>
      <c r="I7" t="s">
        <v>15</v>
      </c>
      <c r="J7" t="s">
        <v>14</v>
      </c>
      <c r="L7" t="str">
        <f>IF(C7=0,H7,IF(C7=1,I7,IF(C7=2,J7,IF(C7=3,K7))))</f>
        <v>yellow_pencil.jpg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1</v>
      </c>
      <c r="P7">
        <f t="shared" ref="P7" si="8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3</v>
      </c>
      <c r="Q7">
        <f t="shared" ref="Q7" si="9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4</v>
      </c>
      <c r="R7">
        <f t="shared" ref="R7" si="10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11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1</v>
      </c>
    </row>
    <row r="8" spans="1:19" hidden="1" x14ac:dyDescent="0.25">
      <c r="A8">
        <v>38</v>
      </c>
      <c r="B8">
        <v>2</v>
      </c>
      <c r="C8">
        <v>0</v>
      </c>
      <c r="F8" s="5">
        <v>44699</v>
      </c>
      <c r="G8" s="1">
        <v>0.41133101851851855</v>
      </c>
    </row>
    <row r="9" spans="1:19" x14ac:dyDescent="0.25">
      <c r="A9">
        <v>42</v>
      </c>
      <c r="B9">
        <v>2</v>
      </c>
      <c r="C9">
        <v>0</v>
      </c>
      <c r="D9">
        <v>3</v>
      </c>
      <c r="F9" s="5">
        <v>44699</v>
      </c>
      <c r="G9" s="7">
        <v>0.41136574074074073</v>
      </c>
      <c r="H9" t="s">
        <v>17</v>
      </c>
      <c r="I9" t="s">
        <v>15</v>
      </c>
      <c r="J9" t="s">
        <v>16</v>
      </c>
      <c r="K9" t="s">
        <v>14</v>
      </c>
      <c r="L9" t="str">
        <f>IF(C9=0,H9,IF(C9=1,I9,IF(C9=2,J9,IF(C9=3,K9))))</f>
        <v>yellow_pencil.jpg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1</v>
      </c>
      <c r="P9">
        <f t="shared" ref="P9" si="12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3</v>
      </c>
      <c r="Q9">
        <f t="shared" ref="Q9" si="13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2</v>
      </c>
      <c r="R9">
        <f t="shared" ref="R9" si="14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4</v>
      </c>
      <c r="S9">
        <f t="shared" ref="S9" si="15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1</v>
      </c>
    </row>
    <row r="10" spans="1:19" hidden="1" x14ac:dyDescent="0.25">
      <c r="A10">
        <v>49</v>
      </c>
      <c r="B10">
        <v>2</v>
      </c>
      <c r="C10">
        <v>0</v>
      </c>
      <c r="F10" s="5">
        <v>44699</v>
      </c>
      <c r="G10" s="1">
        <v>0.41149305555555554</v>
      </c>
    </row>
    <row r="11" spans="1:19" x14ac:dyDescent="0.25">
      <c r="A11">
        <v>55</v>
      </c>
      <c r="B11">
        <v>2</v>
      </c>
      <c r="C11">
        <v>0</v>
      </c>
      <c r="D11">
        <v>1</v>
      </c>
      <c r="F11" s="5">
        <v>44699</v>
      </c>
      <c r="G11" s="7">
        <v>0.41162037037037041</v>
      </c>
      <c r="H11" t="s">
        <v>17</v>
      </c>
      <c r="I11" t="s">
        <v>16</v>
      </c>
      <c r="L11" t="str">
        <f>IF(C11=0,H11,IF(C11=1,I11,IF(C11=2,J11,IF(C11=3,K11))))</f>
        <v>yellow_pencil.jpg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1</v>
      </c>
      <c r="P11">
        <f t="shared" ref="P11" si="16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2</v>
      </c>
      <c r="Q11">
        <f t="shared" ref="Q11" si="17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 t="shared" ref="R11" si="18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9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1</v>
      </c>
    </row>
    <row r="12" spans="1:19" hidden="1" x14ac:dyDescent="0.25">
      <c r="A12">
        <v>65</v>
      </c>
      <c r="B12">
        <v>2</v>
      </c>
      <c r="C12">
        <v>0</v>
      </c>
      <c r="F12" s="5">
        <v>44699</v>
      </c>
      <c r="G12" s="1">
        <v>0.41173611111111108</v>
      </c>
    </row>
    <row r="13" spans="1:19" x14ac:dyDescent="0.25">
      <c r="A13">
        <v>71</v>
      </c>
      <c r="B13">
        <v>2</v>
      </c>
      <c r="C13">
        <v>0</v>
      </c>
      <c r="D13">
        <v>0</v>
      </c>
      <c r="F13" s="5">
        <v>44699</v>
      </c>
      <c r="G13" s="7">
        <v>0.41177083333333336</v>
      </c>
      <c r="H13" t="s">
        <v>14</v>
      </c>
      <c r="I13" t="s">
        <v>17</v>
      </c>
      <c r="J13" t="s">
        <v>16</v>
      </c>
      <c r="L13" t="str">
        <f>IF(C13=0,H13,IF(C13=1,I13,IF(C13=2,J13,IF(C13=3,K13))))</f>
        <v>blue_pencil.jpg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4</v>
      </c>
      <c r="P13">
        <f t="shared" ref="P13" si="20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Q13">
        <f t="shared" ref="Q13" si="21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2</v>
      </c>
      <c r="R13">
        <f t="shared" ref="R13" si="22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3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4</v>
      </c>
    </row>
    <row r="14" spans="1:19" hidden="1" x14ac:dyDescent="0.25">
      <c r="A14">
        <v>79</v>
      </c>
      <c r="B14">
        <v>2</v>
      </c>
      <c r="C14">
        <v>0</v>
      </c>
      <c r="F14" s="5">
        <v>44699</v>
      </c>
      <c r="G14" s="1">
        <v>0.41188657407407409</v>
      </c>
    </row>
    <row r="15" spans="1:19" x14ac:dyDescent="0.25">
      <c r="A15">
        <v>83</v>
      </c>
      <c r="B15">
        <v>2</v>
      </c>
      <c r="C15">
        <v>0</v>
      </c>
      <c r="D15">
        <v>1</v>
      </c>
      <c r="F15" s="5">
        <v>44699</v>
      </c>
      <c r="G15" s="7">
        <v>0.41192129629629631</v>
      </c>
      <c r="H15" t="s">
        <v>15</v>
      </c>
      <c r="I15" t="s">
        <v>14</v>
      </c>
      <c r="L15" t="str">
        <f>IF(C15=0,H15,IF(C15=1,I15,IF(C15=2,J15,IF(C15=3,K15))))</f>
        <v>orange_pencil.jpg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3</v>
      </c>
      <c r="P15">
        <f t="shared" ref="P15" si="24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4</v>
      </c>
      <c r="Q15">
        <f t="shared" ref="Q15" si="25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 t="shared" ref="R15" si="26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7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3</v>
      </c>
    </row>
    <row r="16" spans="1:19" hidden="1" x14ac:dyDescent="0.25">
      <c r="A16">
        <v>92</v>
      </c>
      <c r="B16">
        <v>2</v>
      </c>
      <c r="C16">
        <v>0</v>
      </c>
      <c r="F16" s="5">
        <v>44699</v>
      </c>
      <c r="G16" s="1">
        <v>0.41202546296296294</v>
      </c>
    </row>
    <row r="17" spans="1:19" x14ac:dyDescent="0.25">
      <c r="A17">
        <v>94</v>
      </c>
      <c r="B17">
        <v>2</v>
      </c>
      <c r="C17">
        <v>0</v>
      </c>
      <c r="D17">
        <v>0</v>
      </c>
      <c r="F17" s="5">
        <v>44699</v>
      </c>
      <c r="G17" s="7">
        <v>0.41206018518518522</v>
      </c>
      <c r="H17" t="s">
        <v>14</v>
      </c>
      <c r="I17" t="s">
        <v>16</v>
      </c>
      <c r="L17" t="str">
        <f>IF(C17=0,H17,IF(C17=1,I17,IF(C17=2,J17,IF(C17=3,K17))))</f>
        <v>blue_pencil.jpg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4</v>
      </c>
      <c r="P17">
        <f t="shared" ref="P17" si="28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2</v>
      </c>
      <c r="Q17">
        <f t="shared" ref="Q17" si="29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 t="shared" ref="R17" si="30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31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4</v>
      </c>
    </row>
    <row r="18" spans="1:19" hidden="1" x14ac:dyDescent="0.25">
      <c r="A18">
        <v>104</v>
      </c>
      <c r="B18">
        <v>2</v>
      </c>
      <c r="C18">
        <v>0</v>
      </c>
      <c r="F18" s="5">
        <v>44699</v>
      </c>
      <c r="G18" s="1">
        <v>0.41216435185185185</v>
      </c>
    </row>
    <row r="19" spans="1:19" x14ac:dyDescent="0.25">
      <c r="A19">
        <v>108</v>
      </c>
      <c r="B19">
        <v>2</v>
      </c>
      <c r="C19">
        <v>0</v>
      </c>
      <c r="D19">
        <v>1</v>
      </c>
      <c r="F19" s="5">
        <v>44699</v>
      </c>
      <c r="G19" s="7">
        <v>0.41221064814814817</v>
      </c>
      <c r="H19" t="s">
        <v>16</v>
      </c>
      <c r="I19" t="s">
        <v>14</v>
      </c>
      <c r="J19" t="s">
        <v>15</v>
      </c>
      <c r="L19" t="str">
        <f>IF(C19=0,H19,IF(C19=1,I19,IF(C19=2,J19,IF(C19=3,K19))))</f>
        <v>red_pencil.jpg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2</v>
      </c>
      <c r="P19">
        <f t="shared" ref="P19" si="32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4</v>
      </c>
      <c r="Q19">
        <f t="shared" ref="Q19" si="33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3</v>
      </c>
      <c r="R19">
        <f t="shared" ref="R19" si="34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5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2</v>
      </c>
    </row>
    <row r="20" spans="1:19" hidden="1" x14ac:dyDescent="0.25">
      <c r="A20">
        <v>115</v>
      </c>
      <c r="B20">
        <v>2</v>
      </c>
      <c r="C20">
        <v>0</v>
      </c>
      <c r="F20" s="5">
        <v>44699</v>
      </c>
      <c r="G20" s="1">
        <v>0.41230324074074076</v>
      </c>
    </row>
    <row r="21" spans="1:19" x14ac:dyDescent="0.25">
      <c r="A21">
        <v>121</v>
      </c>
      <c r="B21">
        <v>2</v>
      </c>
      <c r="C21">
        <v>0</v>
      </c>
      <c r="D21">
        <v>0</v>
      </c>
      <c r="F21" s="5">
        <v>44699</v>
      </c>
      <c r="G21" s="7">
        <v>0.41236111111111112</v>
      </c>
      <c r="H21" t="s">
        <v>15</v>
      </c>
      <c r="I21" t="s">
        <v>16</v>
      </c>
      <c r="L21" t="str">
        <f>IF(C21=0,H21,IF(C21=1,I21,IF(C21=2,J21,IF(C21=3,K21))))</f>
        <v>orange_pencil.jpg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3</v>
      </c>
      <c r="P21">
        <f t="shared" ref="P21" si="36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2</v>
      </c>
      <c r="Q21">
        <f t="shared" ref="Q21" si="37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0</v>
      </c>
      <c r="R21">
        <f t="shared" ref="R21" si="38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9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3</v>
      </c>
    </row>
    <row r="22" spans="1:19" hidden="1" x14ac:dyDescent="0.25">
      <c r="A22">
        <v>130</v>
      </c>
      <c r="B22">
        <v>2</v>
      </c>
      <c r="C22">
        <v>0</v>
      </c>
      <c r="F22" s="5">
        <v>44699</v>
      </c>
      <c r="G22" s="1">
        <v>0.41247685185185184</v>
      </c>
    </row>
    <row r="23" spans="1:19" x14ac:dyDescent="0.25">
      <c r="A23">
        <v>136</v>
      </c>
      <c r="B23">
        <v>2</v>
      </c>
      <c r="C23">
        <v>0</v>
      </c>
      <c r="D23">
        <v>1</v>
      </c>
      <c r="F23" s="5">
        <v>44699</v>
      </c>
      <c r="G23" s="7">
        <v>0.41253472222222221</v>
      </c>
      <c r="H23" t="s">
        <v>17</v>
      </c>
      <c r="I23" t="s">
        <v>14</v>
      </c>
      <c r="L23" t="str">
        <f>IF(C23=0,H23,IF(C23=1,I23,IF(C23=2,J23,IF(C23=3,K23))))</f>
        <v>yellow_pencil.jpg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1</v>
      </c>
      <c r="P23">
        <f t="shared" ref="P23" si="40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4</v>
      </c>
      <c r="Q23">
        <f t="shared" ref="Q23" si="41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0</v>
      </c>
      <c r="R23">
        <f t="shared" ref="R23" si="42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3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1</v>
      </c>
    </row>
    <row r="24" spans="1:19" hidden="1" x14ac:dyDescent="0.25">
      <c r="A24">
        <v>147</v>
      </c>
      <c r="B24">
        <v>2</v>
      </c>
      <c r="C24">
        <v>1</v>
      </c>
      <c r="F24" s="5">
        <v>44699</v>
      </c>
      <c r="G24" s="1">
        <v>0.41263888888888894</v>
      </c>
    </row>
    <row r="25" spans="1:19" x14ac:dyDescent="0.25">
      <c r="A25">
        <v>154</v>
      </c>
      <c r="B25">
        <v>2</v>
      </c>
      <c r="C25">
        <v>1</v>
      </c>
      <c r="D25">
        <v>1</v>
      </c>
      <c r="F25" s="5">
        <v>44699</v>
      </c>
      <c r="G25" s="7">
        <v>0.41271990740740744</v>
      </c>
      <c r="H25" t="s">
        <v>9</v>
      </c>
      <c r="I25" t="s">
        <v>10</v>
      </c>
      <c r="J25" t="s">
        <v>13</v>
      </c>
      <c r="L25" t="str">
        <f>IF(C25=0,H25,IF(C25=1,I25,IF(C25=2,J25,IF(C25=3,K25))))</f>
        <v>blue_pen.jpg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8</v>
      </c>
      <c r="P25">
        <f t="shared" ref="P25" si="44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7</v>
      </c>
      <c r="Q25">
        <f t="shared" ref="Q25" si="45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5</v>
      </c>
      <c r="R25">
        <f t="shared" ref="R25" si="46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7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7</v>
      </c>
    </row>
    <row r="26" spans="1:19" hidden="1" x14ac:dyDescent="0.25">
      <c r="A26">
        <v>162</v>
      </c>
      <c r="B26">
        <v>2</v>
      </c>
      <c r="C26">
        <v>1</v>
      </c>
      <c r="F26" s="5">
        <v>44699</v>
      </c>
      <c r="G26" s="1">
        <v>0.41282407407407407</v>
      </c>
    </row>
    <row r="27" spans="1:19" x14ac:dyDescent="0.25">
      <c r="A27">
        <v>166</v>
      </c>
      <c r="B27">
        <v>2</v>
      </c>
      <c r="C27">
        <v>1</v>
      </c>
      <c r="D27">
        <v>1</v>
      </c>
      <c r="F27" s="5">
        <v>44699</v>
      </c>
      <c r="G27" s="7">
        <v>0.4128472222222222</v>
      </c>
      <c r="H27" t="s">
        <v>9</v>
      </c>
      <c r="I27" t="s">
        <v>10</v>
      </c>
      <c r="L27" t="str">
        <f>IF(C27=0,H27,IF(C27=1,I27,IF(C27=2,J27,IF(C27=3,K27))))</f>
        <v>blue_pen.jpg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8</v>
      </c>
      <c r="P27">
        <f t="shared" ref="P27" si="48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7</v>
      </c>
      <c r="Q27">
        <f t="shared" ref="Q27" si="49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0</v>
      </c>
      <c r="R27">
        <f t="shared" ref="R27" si="50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51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7</v>
      </c>
    </row>
    <row r="28" spans="1:19" hidden="1" x14ac:dyDescent="0.25">
      <c r="A28">
        <v>174</v>
      </c>
      <c r="B28">
        <v>2</v>
      </c>
      <c r="C28">
        <v>1</v>
      </c>
      <c r="F28" s="5">
        <v>44699</v>
      </c>
      <c r="G28" s="1">
        <v>0.41295138888888888</v>
      </c>
    </row>
    <row r="29" spans="1:19" x14ac:dyDescent="0.25">
      <c r="A29">
        <v>181</v>
      </c>
      <c r="B29">
        <v>2</v>
      </c>
      <c r="C29">
        <v>1</v>
      </c>
      <c r="D29">
        <v>1</v>
      </c>
      <c r="F29" s="5">
        <v>44699</v>
      </c>
      <c r="G29" s="7">
        <v>0.41299768518518515</v>
      </c>
      <c r="H29" t="s">
        <v>11</v>
      </c>
      <c r="I29" t="s">
        <v>10</v>
      </c>
      <c r="J29" t="s">
        <v>13</v>
      </c>
      <c r="L29" t="str">
        <f>IF(C29=0,H29,IF(C29=1,I29,IF(C29=2,J29,IF(C29=3,K29))))</f>
        <v>blue_pen.jpg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6</v>
      </c>
      <c r="P29">
        <f t="shared" ref="P29" si="52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7</v>
      </c>
      <c r="Q29">
        <f t="shared" ref="Q29" si="53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5</v>
      </c>
      <c r="R29">
        <f t="shared" ref="R29" si="54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5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7</v>
      </c>
    </row>
    <row r="30" spans="1:19" hidden="1" x14ac:dyDescent="0.25">
      <c r="A30">
        <v>191</v>
      </c>
      <c r="B30">
        <v>2</v>
      </c>
      <c r="C30">
        <v>1</v>
      </c>
      <c r="F30" s="5">
        <v>44699</v>
      </c>
      <c r="G30" s="1">
        <v>0.41311342592592593</v>
      </c>
    </row>
    <row r="31" spans="1:19" x14ac:dyDescent="0.25">
      <c r="A31">
        <v>192</v>
      </c>
      <c r="B31">
        <v>2</v>
      </c>
      <c r="C31">
        <v>1</v>
      </c>
      <c r="D31">
        <v>1</v>
      </c>
      <c r="F31" s="5">
        <v>44699</v>
      </c>
      <c r="G31" s="7">
        <v>0.4131481481481481</v>
      </c>
      <c r="H31" t="s">
        <v>13</v>
      </c>
      <c r="I31" t="s">
        <v>10</v>
      </c>
      <c r="L31" t="str">
        <f>IF(C31=0,H31,IF(C31=1,I31,IF(C31=2,J31,IF(C31=3,K31))))</f>
        <v>blue_pen.jpg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5</v>
      </c>
      <c r="P31">
        <f t="shared" ref="P31" si="56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7</v>
      </c>
      <c r="Q31">
        <f t="shared" ref="Q31" si="57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0</v>
      </c>
      <c r="R31">
        <f t="shared" ref="R31" si="58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9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7</v>
      </c>
    </row>
    <row r="32" spans="1:19" hidden="1" x14ac:dyDescent="0.25">
      <c r="A32">
        <v>203</v>
      </c>
      <c r="B32">
        <v>2</v>
      </c>
      <c r="C32">
        <v>1</v>
      </c>
      <c r="F32" s="5">
        <v>44699</v>
      </c>
      <c r="G32" s="1">
        <v>0.41324074074074074</v>
      </c>
    </row>
    <row r="33" spans="1:19" x14ac:dyDescent="0.25">
      <c r="A33">
        <v>205</v>
      </c>
      <c r="B33">
        <v>2</v>
      </c>
      <c r="C33">
        <v>1</v>
      </c>
      <c r="D33">
        <v>1</v>
      </c>
      <c r="F33" s="5">
        <v>44699</v>
      </c>
      <c r="G33" s="7">
        <v>0.41327546296296297</v>
      </c>
      <c r="H33" t="s">
        <v>13</v>
      </c>
      <c r="I33" t="s">
        <v>9</v>
      </c>
      <c r="L33" t="str">
        <f>IF(C33=0,H33,IF(C33=1,I33,IF(C33=2,J33,IF(C33=3,K33))))</f>
        <v>green_pen.jpg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5</v>
      </c>
      <c r="P33">
        <f t="shared" ref="P33" si="60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8</v>
      </c>
      <c r="Q33">
        <f t="shared" ref="Q33" si="61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62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3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8</v>
      </c>
    </row>
    <row r="34" spans="1:19" hidden="1" x14ac:dyDescent="0.25">
      <c r="A34">
        <v>218</v>
      </c>
      <c r="B34">
        <v>2</v>
      </c>
      <c r="C34">
        <v>1</v>
      </c>
      <c r="F34" s="5">
        <v>44699</v>
      </c>
      <c r="G34" s="1">
        <v>0.41339120370370369</v>
      </c>
    </row>
    <row r="35" spans="1:19" x14ac:dyDescent="0.25">
      <c r="A35">
        <v>221</v>
      </c>
      <c r="B35">
        <v>2</v>
      </c>
      <c r="C35">
        <v>1</v>
      </c>
      <c r="D35">
        <v>1</v>
      </c>
      <c r="F35" s="5">
        <v>44699</v>
      </c>
      <c r="G35" s="7">
        <v>0.41342592592592592</v>
      </c>
      <c r="H35" t="s">
        <v>11</v>
      </c>
      <c r="I35" t="s">
        <v>10</v>
      </c>
      <c r="J35" t="s">
        <v>13</v>
      </c>
      <c r="K35" t="s">
        <v>9</v>
      </c>
      <c r="L35" t="str">
        <f>IF(C35=0,H35,IF(C35=1,I35,IF(C35=2,J35,IF(C35=3,K35))))</f>
        <v>blue_pen.jpg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6</v>
      </c>
      <c r="P35">
        <f t="shared" ref="P35" si="64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7</v>
      </c>
      <c r="Q35">
        <f t="shared" ref="Q35" si="65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5</v>
      </c>
      <c r="R35">
        <f t="shared" ref="R35" si="66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8</v>
      </c>
      <c r="S35">
        <f t="shared" ref="S35" si="67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7</v>
      </c>
    </row>
    <row r="36" spans="1:19" hidden="1" x14ac:dyDescent="0.25">
      <c r="A36">
        <v>234</v>
      </c>
      <c r="B36">
        <v>2</v>
      </c>
      <c r="C36">
        <v>1</v>
      </c>
      <c r="F36" s="5">
        <v>44699</v>
      </c>
      <c r="G36" s="1">
        <v>0.4135416666666667</v>
      </c>
    </row>
    <row r="37" spans="1:19" x14ac:dyDescent="0.25">
      <c r="A37">
        <v>246</v>
      </c>
      <c r="B37">
        <v>2</v>
      </c>
      <c r="C37">
        <v>1</v>
      </c>
      <c r="D37">
        <v>0</v>
      </c>
      <c r="F37" s="5">
        <v>44699</v>
      </c>
      <c r="G37" s="7">
        <v>0.41369212962962965</v>
      </c>
      <c r="H37" t="s">
        <v>10</v>
      </c>
      <c r="I37" t="s">
        <v>11</v>
      </c>
      <c r="J37" t="s">
        <v>9</v>
      </c>
      <c r="L37" t="str">
        <f>IF(C37=0,H37,IF(C37=1,I37,IF(C37=2,J37,IF(C37=3,K37))))</f>
        <v>red_pen.jpg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7</v>
      </c>
      <c r="P37">
        <f t="shared" ref="P37" si="68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6</v>
      </c>
      <c r="Q37">
        <f t="shared" ref="Q37" si="69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8</v>
      </c>
      <c r="R37">
        <f t="shared" ref="R37" si="70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71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6</v>
      </c>
    </row>
    <row r="38" spans="1:19" hidden="1" x14ac:dyDescent="0.25">
      <c r="A38">
        <v>255</v>
      </c>
      <c r="B38">
        <v>2</v>
      </c>
      <c r="C38">
        <v>1</v>
      </c>
      <c r="F38" s="5">
        <v>44699</v>
      </c>
      <c r="G38" s="1">
        <v>0.4138310185185185</v>
      </c>
    </row>
    <row r="39" spans="1:19" x14ac:dyDescent="0.25">
      <c r="A39">
        <v>261</v>
      </c>
      <c r="B39">
        <v>2</v>
      </c>
      <c r="C39">
        <v>1</v>
      </c>
      <c r="D39">
        <v>1</v>
      </c>
      <c r="F39" s="5">
        <v>44699</v>
      </c>
      <c r="G39" s="7">
        <v>0.41385416666666663</v>
      </c>
      <c r="H39" t="s">
        <v>13</v>
      </c>
      <c r="I39" t="s">
        <v>11</v>
      </c>
      <c r="L39" t="str">
        <f>IF(C39=0,H39,IF(C39=1,I39,IF(C39=2,J39,IF(C39=3,K39))))</f>
        <v>red_pen.jpg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5</v>
      </c>
      <c r="P39">
        <f t="shared" ref="P39" si="72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6</v>
      </c>
      <c r="Q39">
        <f t="shared" ref="Q39" si="73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0</v>
      </c>
      <c r="R39">
        <f t="shared" ref="R39" si="74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5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6</v>
      </c>
    </row>
    <row r="40" spans="1:19" hidden="1" x14ac:dyDescent="0.25">
      <c r="A40">
        <v>270</v>
      </c>
      <c r="B40">
        <v>2</v>
      </c>
      <c r="C40">
        <v>1</v>
      </c>
      <c r="F40" s="5">
        <v>44699</v>
      </c>
      <c r="G40" s="1">
        <v>0.41398148148148151</v>
      </c>
    </row>
    <row r="41" spans="1:19" x14ac:dyDescent="0.25">
      <c r="A41">
        <v>273</v>
      </c>
      <c r="B41">
        <v>2</v>
      </c>
      <c r="C41">
        <v>1</v>
      </c>
      <c r="D41">
        <v>0</v>
      </c>
      <c r="F41" s="5">
        <v>44699</v>
      </c>
      <c r="G41" s="7">
        <v>0.41402777777777783</v>
      </c>
      <c r="H41" t="s">
        <v>11</v>
      </c>
      <c r="I41" t="s">
        <v>9</v>
      </c>
      <c r="L41" t="str">
        <f>IF(C41=0,H41,IF(C41=1,I41,IF(C41=2,J41,IF(C41=3,K41))))</f>
        <v>green_pen.jpg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6</v>
      </c>
      <c r="P41">
        <f t="shared" ref="P41" si="76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8</v>
      </c>
      <c r="Q41">
        <f t="shared" ref="Q41" si="77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0</v>
      </c>
      <c r="R41">
        <f t="shared" ref="R41" si="78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9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8</v>
      </c>
    </row>
    <row r="42" spans="1:19" hidden="1" x14ac:dyDescent="0.25">
      <c r="A42">
        <v>280</v>
      </c>
      <c r="B42">
        <v>2</v>
      </c>
      <c r="C42">
        <v>1</v>
      </c>
      <c r="F42" s="5">
        <v>44699</v>
      </c>
      <c r="G42" s="1">
        <v>0.41414351851851849</v>
      </c>
    </row>
    <row r="43" spans="1:19" x14ac:dyDescent="0.25">
      <c r="A43">
        <v>288</v>
      </c>
      <c r="B43">
        <v>2</v>
      </c>
      <c r="C43">
        <v>1</v>
      </c>
      <c r="D43">
        <v>0</v>
      </c>
      <c r="F43" s="5">
        <v>44699</v>
      </c>
      <c r="G43" s="7">
        <v>0.41418981481481482</v>
      </c>
      <c r="H43" t="s">
        <v>10</v>
      </c>
      <c r="I43" t="s">
        <v>11</v>
      </c>
      <c r="L43" t="str">
        <f>IF(C43=0,H43,IF(C43=1,I43,IF(C43=2,J43,IF(C43=3,K43))))</f>
        <v>red_pen.jpg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7</v>
      </c>
      <c r="P43">
        <f t="shared" ref="P43" si="80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6</v>
      </c>
      <c r="Q43">
        <f t="shared" ref="Q43" si="81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0</v>
      </c>
      <c r="R43">
        <f t="shared" ref="R43" si="82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3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6</v>
      </c>
    </row>
    <row r="44" spans="1:19" hidden="1" x14ac:dyDescent="0.25">
      <c r="A44">
        <v>296</v>
      </c>
      <c r="B44">
        <v>2</v>
      </c>
      <c r="C44">
        <v>1</v>
      </c>
      <c r="F44" s="5">
        <v>44699</v>
      </c>
      <c r="G44" s="1">
        <v>0.41431712962962958</v>
      </c>
    </row>
    <row r="45" spans="1:19" x14ac:dyDescent="0.25">
      <c r="A45">
        <v>300</v>
      </c>
      <c r="B45">
        <v>2</v>
      </c>
      <c r="C45">
        <v>1</v>
      </c>
      <c r="D45">
        <v>1</v>
      </c>
      <c r="F45" s="5">
        <v>44699</v>
      </c>
      <c r="G45" s="7">
        <v>0.4143634259259259</v>
      </c>
      <c r="H45" t="s">
        <v>13</v>
      </c>
      <c r="I45" t="s">
        <v>11</v>
      </c>
      <c r="J45" t="s">
        <v>9</v>
      </c>
      <c r="L45" t="str">
        <f>IF(C45=0,H45,IF(C45=1,I45,IF(C45=2,J45,IF(C45=3,K45))))</f>
        <v>red_pen.jpg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5</v>
      </c>
      <c r="P45">
        <f t="shared" ref="P45" si="84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6</v>
      </c>
      <c r="Q45">
        <f t="shared" ref="Q45" si="85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8</v>
      </c>
      <c r="R45">
        <f t="shared" ref="R45" si="86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7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6</v>
      </c>
    </row>
    <row r="46" spans="1:19" hidden="1" x14ac:dyDescent="0.25">
      <c r="A46">
        <v>312</v>
      </c>
      <c r="B46">
        <v>2</v>
      </c>
      <c r="C46">
        <v>2</v>
      </c>
      <c r="F46" s="5">
        <v>44699</v>
      </c>
      <c r="G46" s="1">
        <v>0.41446759259259264</v>
      </c>
    </row>
    <row r="47" spans="1:19" x14ac:dyDescent="0.25">
      <c r="A47">
        <v>325</v>
      </c>
      <c r="B47">
        <v>2</v>
      </c>
      <c r="C47">
        <v>2</v>
      </c>
      <c r="D47">
        <v>3</v>
      </c>
      <c r="F47" s="5">
        <v>44699</v>
      </c>
      <c r="G47" s="7">
        <v>0.4145833333333333</v>
      </c>
      <c r="H47" t="s">
        <v>19</v>
      </c>
      <c r="I47" t="s">
        <v>20</v>
      </c>
      <c r="J47" t="s">
        <v>18</v>
      </c>
      <c r="K47" t="s">
        <v>21</v>
      </c>
      <c r="L47" t="str">
        <f>IF(C47=0,H47,IF(C47=1,I47,IF(C47=2,J47,IF(C47=3,K47))))</f>
        <v>pen4.jpg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10</v>
      </c>
      <c r="P47">
        <f t="shared" ref="P47" si="88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11</v>
      </c>
      <c r="Q47">
        <f t="shared" ref="Q47" si="89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12</v>
      </c>
      <c r="R47">
        <f t="shared" ref="R47" si="90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9</v>
      </c>
      <c r="S47">
        <f t="shared" ref="S47" si="91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12</v>
      </c>
    </row>
    <row r="48" spans="1:19" hidden="1" x14ac:dyDescent="0.25">
      <c r="A48">
        <v>22</v>
      </c>
      <c r="B48">
        <v>3</v>
      </c>
      <c r="C48">
        <v>0</v>
      </c>
      <c r="F48" s="5">
        <v>44699</v>
      </c>
      <c r="G48" s="1">
        <v>0.41111111111111115</v>
      </c>
    </row>
    <row r="49" spans="1:19" x14ac:dyDescent="0.25">
      <c r="A49">
        <v>36</v>
      </c>
      <c r="B49">
        <v>3</v>
      </c>
      <c r="C49">
        <v>0</v>
      </c>
      <c r="D49">
        <v>1</v>
      </c>
      <c r="F49" s="5">
        <v>44699</v>
      </c>
      <c r="G49" s="7">
        <v>0.4113194444444444</v>
      </c>
      <c r="H49" t="s">
        <v>10</v>
      </c>
      <c r="I49" t="s">
        <v>13</v>
      </c>
      <c r="L49" t="str">
        <f>IF(C49=0,H49,IF(C49=1,I49,IF(C49=2,J49,IF(C49=3,K49))))</f>
        <v>blue_pen.jpg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7</v>
      </c>
      <c r="P49">
        <f t="shared" ref="P49" si="92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5</v>
      </c>
      <c r="Q49">
        <f t="shared" ref="Q49" si="93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0</v>
      </c>
      <c r="R49">
        <f t="shared" ref="R49" si="94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5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7</v>
      </c>
    </row>
    <row r="50" spans="1:19" hidden="1" x14ac:dyDescent="0.25">
      <c r="A50">
        <v>46</v>
      </c>
      <c r="B50">
        <v>3</v>
      </c>
      <c r="C50">
        <v>0</v>
      </c>
      <c r="F50" s="5">
        <v>44699</v>
      </c>
      <c r="G50" s="1">
        <v>0.41144675925925928</v>
      </c>
    </row>
    <row r="51" spans="1:19" x14ac:dyDescent="0.25">
      <c r="A51">
        <v>61</v>
      </c>
      <c r="B51">
        <v>3</v>
      </c>
      <c r="C51">
        <v>0</v>
      </c>
      <c r="D51">
        <v>0</v>
      </c>
      <c r="F51" s="5">
        <v>44699</v>
      </c>
      <c r="G51" s="7">
        <v>0.41165509259259259</v>
      </c>
      <c r="H51" t="s">
        <v>13</v>
      </c>
      <c r="I51" t="s">
        <v>11</v>
      </c>
      <c r="L51" t="str">
        <f>IF(C51=0,H51,IF(C51=1,I51,IF(C51=2,J51,IF(C51=3,K51))))</f>
        <v>yellow_pen.jpg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5</v>
      </c>
      <c r="P51">
        <f t="shared" ref="P51" si="96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6</v>
      </c>
      <c r="Q51">
        <f t="shared" ref="Q51" si="97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0</v>
      </c>
      <c r="R51">
        <f t="shared" ref="R51" si="98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9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5</v>
      </c>
    </row>
    <row r="52" spans="1:19" hidden="1" x14ac:dyDescent="0.25">
      <c r="A52">
        <v>69</v>
      </c>
      <c r="B52">
        <v>3</v>
      </c>
      <c r="C52">
        <v>0</v>
      </c>
      <c r="F52" s="5">
        <v>44699</v>
      </c>
      <c r="G52" s="1">
        <v>0.41175925925925921</v>
      </c>
    </row>
    <row r="53" spans="1:19" x14ac:dyDescent="0.25">
      <c r="A53">
        <v>76</v>
      </c>
      <c r="B53">
        <v>3</v>
      </c>
      <c r="C53">
        <v>0</v>
      </c>
      <c r="D53">
        <v>0</v>
      </c>
      <c r="F53" s="5">
        <v>44699</v>
      </c>
      <c r="G53" s="7">
        <v>0.41185185185185186</v>
      </c>
      <c r="H53" t="s">
        <v>10</v>
      </c>
      <c r="I53" t="s">
        <v>9</v>
      </c>
      <c r="L53" t="str">
        <f>IF(C53=0,H53,IF(C53=1,I53,IF(C53=2,J53,IF(C53=3,K53))))</f>
        <v>blue_pen.jpg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7</v>
      </c>
      <c r="P53">
        <f t="shared" ref="P53" si="100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8</v>
      </c>
      <c r="Q53">
        <f t="shared" ref="Q53" si="101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102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3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7</v>
      </c>
    </row>
    <row r="54" spans="1:19" hidden="1" x14ac:dyDescent="0.25">
      <c r="A54">
        <v>90</v>
      </c>
      <c r="B54">
        <v>3</v>
      </c>
      <c r="C54">
        <v>0</v>
      </c>
      <c r="F54" s="5">
        <v>44699</v>
      </c>
      <c r="G54" s="1">
        <v>0.4120138888888889</v>
      </c>
    </row>
    <row r="55" spans="1:19" x14ac:dyDescent="0.25">
      <c r="A55">
        <v>102</v>
      </c>
      <c r="B55">
        <v>3</v>
      </c>
      <c r="C55">
        <v>0</v>
      </c>
      <c r="D55">
        <v>1</v>
      </c>
      <c r="F55" s="5">
        <v>44699</v>
      </c>
      <c r="G55" s="7">
        <v>0.41216435185185185</v>
      </c>
      <c r="H55" t="s">
        <v>9</v>
      </c>
      <c r="I55" t="s">
        <v>13</v>
      </c>
      <c r="J55" t="s">
        <v>11</v>
      </c>
      <c r="K55" t="s">
        <v>10</v>
      </c>
      <c r="L55" t="str">
        <f>IF(C55=0,H55,IF(C55=1,I55,IF(C55=2,J55,IF(C55=3,K55))))</f>
        <v>green_pen.jpg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8</v>
      </c>
      <c r="P55">
        <f t="shared" ref="P55" si="104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5</v>
      </c>
      <c r="Q55">
        <f t="shared" ref="Q55" si="105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6</v>
      </c>
      <c r="R55">
        <f t="shared" ref="R55" si="106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7</v>
      </c>
      <c r="S55">
        <f t="shared" ref="S55" si="107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8</v>
      </c>
    </row>
    <row r="56" spans="1:19" hidden="1" x14ac:dyDescent="0.25">
      <c r="A56">
        <v>114</v>
      </c>
      <c r="B56">
        <v>3</v>
      </c>
      <c r="C56">
        <v>0</v>
      </c>
      <c r="F56" s="5">
        <v>44699</v>
      </c>
      <c r="G56" s="1">
        <v>0.41229166666666667</v>
      </c>
    </row>
    <row r="57" spans="1:19" x14ac:dyDescent="0.25">
      <c r="A57">
        <v>120</v>
      </c>
      <c r="B57">
        <v>3</v>
      </c>
      <c r="C57">
        <v>0</v>
      </c>
      <c r="D57">
        <v>0</v>
      </c>
      <c r="F57" s="5">
        <v>44699</v>
      </c>
      <c r="G57" s="7">
        <v>0.41236111111111112</v>
      </c>
      <c r="H57" t="s">
        <v>11</v>
      </c>
      <c r="I57" t="s">
        <v>10</v>
      </c>
      <c r="L57" t="str">
        <f>IF(C57=0,H57,IF(C57=1,I57,IF(C57=2,J57,IF(C57=3,K57))))</f>
        <v>red_pen.jpg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6</v>
      </c>
      <c r="P57">
        <f t="shared" ref="P57" si="108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7</v>
      </c>
      <c r="Q57">
        <f t="shared" ref="Q57" si="109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0</v>
      </c>
      <c r="R57">
        <f t="shared" ref="R57" si="110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11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6</v>
      </c>
    </row>
    <row r="58" spans="1:19" hidden="1" x14ac:dyDescent="0.25">
      <c r="A58">
        <v>131</v>
      </c>
      <c r="B58">
        <v>3</v>
      </c>
      <c r="C58">
        <v>0</v>
      </c>
      <c r="F58" s="5">
        <v>44699</v>
      </c>
      <c r="G58" s="1">
        <v>0.41247685185185184</v>
      </c>
    </row>
    <row r="59" spans="1:19" x14ac:dyDescent="0.25">
      <c r="A59">
        <v>140</v>
      </c>
      <c r="B59">
        <v>3</v>
      </c>
      <c r="C59">
        <v>0</v>
      </c>
      <c r="D59">
        <v>2</v>
      </c>
      <c r="F59" s="5">
        <v>44699</v>
      </c>
      <c r="G59" s="7">
        <v>0.41256944444444449</v>
      </c>
      <c r="H59" t="s">
        <v>9</v>
      </c>
      <c r="I59" t="s">
        <v>10</v>
      </c>
      <c r="J59" t="s">
        <v>11</v>
      </c>
      <c r="L59" t="str">
        <f>IF(C59=0,H59,IF(C59=1,I59,IF(C59=2,J59,IF(C59=3,K59))))</f>
        <v>green_pen.jpg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8</v>
      </c>
      <c r="P59">
        <f t="shared" ref="P59" si="112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7</v>
      </c>
      <c r="Q59">
        <f t="shared" ref="Q59" si="113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6</v>
      </c>
      <c r="R59">
        <f t="shared" ref="R59" si="114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5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8</v>
      </c>
    </row>
    <row r="60" spans="1:19" hidden="1" x14ac:dyDescent="0.25">
      <c r="A60">
        <v>150</v>
      </c>
      <c r="B60">
        <v>3</v>
      </c>
      <c r="C60">
        <v>0</v>
      </c>
      <c r="F60" s="5">
        <v>44699</v>
      </c>
      <c r="G60" s="1">
        <v>0.41268518518518515</v>
      </c>
    </row>
    <row r="61" spans="1:19" x14ac:dyDescent="0.25">
      <c r="A61">
        <v>156</v>
      </c>
      <c r="B61">
        <v>3</v>
      </c>
      <c r="C61">
        <v>0</v>
      </c>
      <c r="D61">
        <v>0</v>
      </c>
      <c r="F61" s="5">
        <v>44699</v>
      </c>
      <c r="G61" s="7">
        <v>0.41274305555555557</v>
      </c>
      <c r="H61" t="s">
        <v>11</v>
      </c>
      <c r="I61" t="s">
        <v>9</v>
      </c>
      <c r="L61" t="str">
        <f>IF(C61=0,H61,IF(C61=1,I61,IF(C61=2,J61,IF(C61=3,K61))))</f>
        <v>red_pen.jpg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6</v>
      </c>
      <c r="P61">
        <f t="shared" ref="P61" si="116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8</v>
      </c>
      <c r="Q61">
        <f t="shared" ref="Q61" si="117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0</v>
      </c>
      <c r="R61">
        <f t="shared" ref="R61" si="118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9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6</v>
      </c>
    </row>
    <row r="62" spans="1:19" hidden="1" x14ac:dyDescent="0.25">
      <c r="A62">
        <v>165</v>
      </c>
      <c r="B62">
        <v>3</v>
      </c>
      <c r="C62">
        <v>0</v>
      </c>
      <c r="F62" s="5">
        <v>44699</v>
      </c>
      <c r="G62" s="1">
        <v>0.4128472222222222</v>
      </c>
    </row>
    <row r="63" spans="1:19" x14ac:dyDescent="0.25">
      <c r="A63">
        <v>170</v>
      </c>
      <c r="B63">
        <v>3</v>
      </c>
      <c r="C63">
        <v>0</v>
      </c>
      <c r="D63">
        <v>0</v>
      </c>
      <c r="F63" s="5">
        <v>44699</v>
      </c>
      <c r="G63" s="7">
        <v>0.41289351851851852</v>
      </c>
      <c r="H63" t="s">
        <v>13</v>
      </c>
      <c r="I63" t="s">
        <v>9</v>
      </c>
      <c r="J63" t="s">
        <v>10</v>
      </c>
      <c r="L63" t="str">
        <f>IF(C63=0,H63,IF(C63=1,I63,IF(C63=2,J63,IF(C63=3,K63))))</f>
        <v>yellow_pen.jpg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5</v>
      </c>
      <c r="P63">
        <f t="shared" ref="P63" si="120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8</v>
      </c>
      <c r="Q63">
        <f t="shared" ref="Q63" si="121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7</v>
      </c>
      <c r="R63">
        <f t="shared" ref="R63" si="122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3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5</v>
      </c>
    </row>
    <row r="64" spans="1:19" hidden="1" x14ac:dyDescent="0.25">
      <c r="A64">
        <v>180</v>
      </c>
      <c r="B64">
        <v>3</v>
      </c>
      <c r="C64">
        <v>0</v>
      </c>
      <c r="F64" s="5">
        <v>44699</v>
      </c>
      <c r="G64" s="1">
        <v>0.41299768518518515</v>
      </c>
    </row>
    <row r="65" spans="1:19" x14ac:dyDescent="0.25">
      <c r="A65">
        <v>183</v>
      </c>
      <c r="B65">
        <v>3</v>
      </c>
      <c r="C65">
        <v>0</v>
      </c>
      <c r="D65">
        <v>0</v>
      </c>
      <c r="F65" s="5">
        <v>44699</v>
      </c>
      <c r="G65" s="7">
        <v>0.41303240740740743</v>
      </c>
      <c r="H65" t="s">
        <v>13</v>
      </c>
      <c r="I65" t="s">
        <v>9</v>
      </c>
      <c r="L65" t="str">
        <f>IF(C65=0,H65,IF(C65=1,I65,IF(C65=2,J65,IF(C65=3,K65))))</f>
        <v>yellow_pen.jpg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5</v>
      </c>
      <c r="P65">
        <f t="shared" ref="P65" si="124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8</v>
      </c>
      <c r="Q65">
        <f t="shared" ref="Q65" si="125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0</v>
      </c>
      <c r="R65">
        <f t="shared" ref="R65" si="126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7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5</v>
      </c>
    </row>
    <row r="66" spans="1:19" hidden="1" x14ac:dyDescent="0.25">
      <c r="A66">
        <v>194</v>
      </c>
      <c r="B66">
        <v>3</v>
      </c>
      <c r="C66">
        <v>0</v>
      </c>
      <c r="F66" s="5">
        <v>44699</v>
      </c>
      <c r="G66" s="1">
        <v>0.4131481481481481</v>
      </c>
    </row>
    <row r="67" spans="1:19" x14ac:dyDescent="0.25">
      <c r="A67">
        <v>204</v>
      </c>
      <c r="B67">
        <v>3</v>
      </c>
      <c r="C67">
        <v>0</v>
      </c>
      <c r="D67">
        <v>2</v>
      </c>
      <c r="F67" s="5">
        <v>44699</v>
      </c>
      <c r="G67" s="7">
        <v>0.41326388888888888</v>
      </c>
      <c r="H67" t="s">
        <v>9</v>
      </c>
      <c r="I67" t="s">
        <v>11</v>
      </c>
      <c r="J67" t="s">
        <v>13</v>
      </c>
      <c r="L67" t="str">
        <f>IF(C67=0,H67,IF(C67=1,I67,IF(C67=2,J67,IF(C67=3,K67))))</f>
        <v>green_pen.jpg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8</v>
      </c>
      <c r="P67">
        <f t="shared" ref="P67" si="128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6</v>
      </c>
      <c r="Q67">
        <f t="shared" ref="Q67" si="129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5</v>
      </c>
      <c r="R67">
        <f t="shared" ref="R67" si="130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31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8</v>
      </c>
    </row>
    <row r="68" spans="1:19" hidden="1" x14ac:dyDescent="0.25">
      <c r="A68">
        <v>217</v>
      </c>
      <c r="B68">
        <v>3</v>
      </c>
      <c r="C68">
        <v>0</v>
      </c>
      <c r="F68" s="5">
        <v>44699</v>
      </c>
      <c r="G68" s="1">
        <v>0.41337962962962965</v>
      </c>
    </row>
    <row r="69" spans="1:19" x14ac:dyDescent="0.25">
      <c r="A69">
        <v>220</v>
      </c>
      <c r="B69">
        <v>3</v>
      </c>
      <c r="C69">
        <v>0</v>
      </c>
      <c r="D69">
        <v>1</v>
      </c>
      <c r="F69" s="5">
        <v>44699</v>
      </c>
      <c r="G69" s="7">
        <v>0.41341435185185182</v>
      </c>
      <c r="H69" t="s">
        <v>11</v>
      </c>
      <c r="I69" t="s">
        <v>13</v>
      </c>
      <c r="J69" t="s">
        <v>10</v>
      </c>
      <c r="L69" t="str">
        <f>IF(C69=0,H69,IF(C69=1,I69,IF(C69=2,J69,IF(C69=3,K69))))</f>
        <v>red_pen.jpg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6</v>
      </c>
      <c r="P69">
        <f t="shared" ref="P69" si="132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5</v>
      </c>
      <c r="Q69">
        <f t="shared" ref="Q69" si="133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7</v>
      </c>
      <c r="R69">
        <f t="shared" ref="R69" si="134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5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6</v>
      </c>
    </row>
    <row r="70" spans="1:19" hidden="1" x14ac:dyDescent="0.25">
      <c r="A70">
        <v>232</v>
      </c>
      <c r="B70">
        <v>3</v>
      </c>
      <c r="C70">
        <v>1</v>
      </c>
      <c r="F70" s="5">
        <v>44699</v>
      </c>
      <c r="G70" s="1">
        <v>0.4135416666666667</v>
      </c>
    </row>
    <row r="71" spans="1:19" x14ac:dyDescent="0.25">
      <c r="A71">
        <v>236</v>
      </c>
      <c r="B71">
        <v>3</v>
      </c>
      <c r="C71">
        <v>1</v>
      </c>
      <c r="D71">
        <v>1</v>
      </c>
      <c r="F71" s="5">
        <v>44699</v>
      </c>
      <c r="G71" s="7">
        <v>0.41358796296296302</v>
      </c>
      <c r="H71" t="s">
        <v>15</v>
      </c>
      <c r="I71" t="s">
        <v>17</v>
      </c>
      <c r="L71" t="str">
        <f>IF(C71=0,H71,IF(C71=1,I71,IF(C71=2,J71,IF(C71=3,K71))))</f>
        <v>yellow_pencil.jpg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3</v>
      </c>
      <c r="P71">
        <f t="shared" ref="P71" si="136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1</v>
      </c>
      <c r="Q71">
        <f t="shared" ref="Q71" si="137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0</v>
      </c>
      <c r="R71">
        <f t="shared" ref="R71" si="138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9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1</v>
      </c>
    </row>
    <row r="72" spans="1:19" hidden="1" x14ac:dyDescent="0.25">
      <c r="A72">
        <v>249</v>
      </c>
      <c r="B72">
        <v>3</v>
      </c>
      <c r="C72">
        <v>1</v>
      </c>
      <c r="F72" s="5">
        <v>44699</v>
      </c>
      <c r="G72" s="1">
        <v>0.41375000000000001</v>
      </c>
    </row>
    <row r="73" spans="1:19" x14ac:dyDescent="0.25">
      <c r="A73">
        <v>258</v>
      </c>
      <c r="B73">
        <v>3</v>
      </c>
      <c r="C73">
        <v>1</v>
      </c>
      <c r="D73">
        <v>1</v>
      </c>
      <c r="F73" s="5">
        <v>44699</v>
      </c>
      <c r="G73" s="7">
        <v>0.41385416666666663</v>
      </c>
      <c r="H73" t="s">
        <v>16</v>
      </c>
      <c r="I73" t="s">
        <v>17</v>
      </c>
      <c r="L73" t="str">
        <f>IF(C73=0,H73,IF(C73=1,I73,IF(C73=2,J73,IF(C73=3,K73))))</f>
        <v>yellow_pencil.jpg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2</v>
      </c>
      <c r="P73">
        <f t="shared" ref="P73" si="140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1</v>
      </c>
      <c r="Q73">
        <f t="shared" ref="Q73" si="141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0</v>
      </c>
      <c r="R73">
        <f t="shared" ref="R73" si="142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3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1</v>
      </c>
    </row>
    <row r="74" spans="1:19" hidden="1" x14ac:dyDescent="0.25">
      <c r="A74">
        <v>267</v>
      </c>
      <c r="B74">
        <v>3</v>
      </c>
      <c r="C74">
        <v>1</v>
      </c>
      <c r="F74" s="5">
        <v>44699</v>
      </c>
      <c r="G74" s="1">
        <v>0.41395833333333337</v>
      </c>
    </row>
    <row r="75" spans="1:19" x14ac:dyDescent="0.25">
      <c r="A75">
        <v>275</v>
      </c>
      <c r="B75">
        <v>3</v>
      </c>
      <c r="C75">
        <v>1</v>
      </c>
      <c r="D75">
        <v>2</v>
      </c>
      <c r="F75" s="5">
        <v>44699</v>
      </c>
      <c r="G75" s="7">
        <v>0.41403935185185187</v>
      </c>
      <c r="H75" t="s">
        <v>15</v>
      </c>
      <c r="I75" t="s">
        <v>14</v>
      </c>
      <c r="J75" t="s">
        <v>16</v>
      </c>
      <c r="L75" t="str">
        <f>IF(C75=0,H75,IF(C75=1,I75,IF(C75=2,J75,IF(C75=3,K75))))</f>
        <v>blue_pencil.jpg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3</v>
      </c>
      <c r="P75">
        <f t="shared" ref="P75" si="144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4</v>
      </c>
      <c r="Q75">
        <f t="shared" ref="Q75" si="145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2</v>
      </c>
      <c r="R75">
        <f t="shared" ref="R75" si="146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7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4</v>
      </c>
    </row>
    <row r="76" spans="1:19" hidden="1" x14ac:dyDescent="0.25">
      <c r="A76">
        <v>284</v>
      </c>
      <c r="B76">
        <v>3</v>
      </c>
      <c r="C76">
        <v>1</v>
      </c>
      <c r="F76" s="5">
        <v>44699</v>
      </c>
      <c r="G76" s="1">
        <v>0.41415509259259259</v>
      </c>
    </row>
    <row r="77" spans="1:19" x14ac:dyDescent="0.25">
      <c r="A77">
        <v>293</v>
      </c>
      <c r="B77">
        <v>3</v>
      </c>
      <c r="C77">
        <v>1</v>
      </c>
      <c r="D77">
        <v>3</v>
      </c>
      <c r="F77" s="5">
        <v>44699</v>
      </c>
      <c r="G77" s="7">
        <v>0.41422453703703704</v>
      </c>
      <c r="H77" t="s">
        <v>16</v>
      </c>
      <c r="I77" t="s">
        <v>14</v>
      </c>
      <c r="J77" t="s">
        <v>15</v>
      </c>
      <c r="K77" t="s">
        <v>17</v>
      </c>
      <c r="L77" t="str">
        <f>IF(C77=0,H77,IF(C77=1,I77,IF(C77=2,J77,IF(C77=3,K77))))</f>
        <v>blue_pencil.jpg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2</v>
      </c>
      <c r="P77">
        <f t="shared" ref="P77" si="148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4</v>
      </c>
      <c r="Q77">
        <f t="shared" ref="Q77" si="149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3</v>
      </c>
      <c r="R77">
        <f t="shared" ref="R77" si="150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1</v>
      </c>
      <c r="S77">
        <f t="shared" ref="S77" si="151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4</v>
      </c>
    </row>
    <row r="78" spans="1:19" hidden="1" x14ac:dyDescent="0.25">
      <c r="A78">
        <v>297</v>
      </c>
      <c r="B78">
        <v>3</v>
      </c>
      <c r="C78">
        <v>1</v>
      </c>
      <c r="F78" s="5">
        <v>44699</v>
      </c>
      <c r="G78" s="1">
        <v>0.41432870370370373</v>
      </c>
    </row>
    <row r="79" spans="1:19" x14ac:dyDescent="0.25">
      <c r="A79">
        <v>302</v>
      </c>
      <c r="B79">
        <v>3</v>
      </c>
      <c r="C79">
        <v>1</v>
      </c>
      <c r="D79">
        <v>0</v>
      </c>
      <c r="F79" s="5">
        <v>44699</v>
      </c>
      <c r="G79" s="7">
        <v>0.41437499999999999</v>
      </c>
      <c r="H79" t="s">
        <v>17</v>
      </c>
      <c r="I79" t="s">
        <v>14</v>
      </c>
      <c r="L79" t="str">
        <f>IF(C79=0,H79,IF(C79=1,I79,IF(C79=2,J79,IF(C79=3,K79))))</f>
        <v>blue_pencil.jpg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1</v>
      </c>
      <c r="P79">
        <f t="shared" ref="P79" si="152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4</v>
      </c>
      <c r="Q79">
        <f t="shared" ref="Q79" si="153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0</v>
      </c>
      <c r="R79">
        <f t="shared" ref="R79" si="154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5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4</v>
      </c>
    </row>
    <row r="80" spans="1:19" hidden="1" x14ac:dyDescent="0.25">
      <c r="A80">
        <v>313</v>
      </c>
      <c r="B80">
        <v>3</v>
      </c>
      <c r="C80">
        <v>1</v>
      </c>
      <c r="F80" s="5">
        <v>44699</v>
      </c>
      <c r="G80" s="1">
        <v>0.41450231481481481</v>
      </c>
    </row>
    <row r="81" spans="1:19" x14ac:dyDescent="0.25">
      <c r="A81">
        <v>319</v>
      </c>
      <c r="B81">
        <v>3</v>
      </c>
      <c r="C81">
        <v>1</v>
      </c>
      <c r="D81">
        <v>0</v>
      </c>
      <c r="F81" s="5">
        <v>44699</v>
      </c>
      <c r="G81" s="7">
        <v>0.41456018518518517</v>
      </c>
      <c r="H81" t="s">
        <v>17</v>
      </c>
      <c r="I81" t="s">
        <v>14</v>
      </c>
      <c r="J81" t="s">
        <v>15</v>
      </c>
      <c r="L81" t="str">
        <f>IF(C81=0,H81,IF(C81=1,I81,IF(C81=2,J81,IF(C81=3,K81))))</f>
        <v>blue_pencil.jpg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1</v>
      </c>
      <c r="P81">
        <f t="shared" ref="P81" si="156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4</v>
      </c>
      <c r="Q81">
        <f t="shared" ref="Q81" si="157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3</v>
      </c>
      <c r="R81">
        <f t="shared" ref="R81" si="158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9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4</v>
      </c>
    </row>
    <row r="82" spans="1:19" hidden="1" x14ac:dyDescent="0.25">
      <c r="A82">
        <v>330</v>
      </c>
      <c r="B82">
        <v>3</v>
      </c>
      <c r="C82">
        <v>1</v>
      </c>
      <c r="F82" s="5">
        <v>44699</v>
      </c>
      <c r="G82" s="1">
        <v>0.41467592592592589</v>
      </c>
    </row>
    <row r="83" spans="1:19" x14ac:dyDescent="0.25">
      <c r="A83">
        <v>332</v>
      </c>
      <c r="B83">
        <v>3</v>
      </c>
      <c r="C83">
        <v>1</v>
      </c>
      <c r="D83">
        <v>1</v>
      </c>
      <c r="F83" s="5">
        <v>44699</v>
      </c>
      <c r="G83" s="7">
        <v>0.41471064814814818</v>
      </c>
      <c r="H83" t="s">
        <v>14</v>
      </c>
      <c r="I83" t="s">
        <v>15</v>
      </c>
      <c r="L83" t="str">
        <f>IF(C83=0,H83,IF(C83=1,I83,IF(C83=2,J83,IF(C83=3,K83))))</f>
        <v>orange_pencil.jpg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4</v>
      </c>
      <c r="P83">
        <f t="shared" ref="P83" si="160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3</v>
      </c>
      <c r="Q83">
        <f t="shared" ref="Q83" si="161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0</v>
      </c>
      <c r="R83">
        <f t="shared" ref="R83" si="162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3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3</v>
      </c>
    </row>
    <row r="84" spans="1:19" hidden="1" x14ac:dyDescent="0.25">
      <c r="A84">
        <v>342</v>
      </c>
      <c r="B84">
        <v>3</v>
      </c>
      <c r="C84">
        <v>1</v>
      </c>
      <c r="F84" s="5">
        <v>44699</v>
      </c>
      <c r="G84" s="1">
        <v>0.41482638888888884</v>
      </c>
    </row>
    <row r="85" spans="1:19" x14ac:dyDescent="0.25">
      <c r="A85">
        <v>344</v>
      </c>
      <c r="B85">
        <v>3</v>
      </c>
      <c r="C85">
        <v>1</v>
      </c>
      <c r="D85">
        <v>2</v>
      </c>
      <c r="F85" s="5">
        <v>44699</v>
      </c>
      <c r="G85" s="7">
        <v>0.41486111111111112</v>
      </c>
      <c r="H85" t="s">
        <v>16</v>
      </c>
      <c r="I85" t="s">
        <v>15</v>
      </c>
      <c r="J85" t="s">
        <v>17</v>
      </c>
      <c r="L85" t="str">
        <f>IF(C85=0,H85,IF(C85=1,I85,IF(C85=2,J85,IF(C85=3,K85))))</f>
        <v>orange_pencil.jpg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2</v>
      </c>
      <c r="P85">
        <f t="shared" ref="P85" si="164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3</v>
      </c>
      <c r="Q85">
        <f t="shared" ref="Q85" si="165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1</v>
      </c>
      <c r="R85">
        <f t="shared" ref="R85" si="166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7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3</v>
      </c>
    </row>
    <row r="86" spans="1:19" hidden="1" x14ac:dyDescent="0.25">
      <c r="A86">
        <v>351</v>
      </c>
      <c r="B86">
        <v>3</v>
      </c>
      <c r="C86">
        <v>1</v>
      </c>
      <c r="F86" s="5">
        <v>44699</v>
      </c>
      <c r="G86" s="1">
        <v>0.4149768518518519</v>
      </c>
    </row>
    <row r="87" spans="1:19" x14ac:dyDescent="0.25">
      <c r="A87">
        <v>353</v>
      </c>
      <c r="B87">
        <v>3</v>
      </c>
      <c r="C87">
        <v>1</v>
      </c>
      <c r="D87">
        <v>0</v>
      </c>
      <c r="F87" s="5">
        <v>44699</v>
      </c>
      <c r="G87" s="7">
        <v>0.41501157407407407</v>
      </c>
      <c r="H87" t="s">
        <v>16</v>
      </c>
      <c r="I87" t="s">
        <v>14</v>
      </c>
      <c r="L87" t="str">
        <f>IF(C87=0,H87,IF(C87=1,I87,IF(C87=2,J87,IF(C87=3,K87))))</f>
        <v>blue_pencil.jpg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2</v>
      </c>
      <c r="P87">
        <f t="shared" ref="P87" si="168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4</v>
      </c>
      <c r="Q87">
        <f t="shared" ref="Q87" si="169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0</v>
      </c>
      <c r="R87">
        <f t="shared" ref="R87" si="170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71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4</v>
      </c>
    </row>
    <row r="88" spans="1:19" hidden="1" x14ac:dyDescent="0.25">
      <c r="A88">
        <v>359</v>
      </c>
      <c r="B88">
        <v>3</v>
      </c>
      <c r="C88">
        <v>1</v>
      </c>
      <c r="F88" s="5">
        <v>44699</v>
      </c>
      <c r="G88" s="1">
        <v>0.41513888888888889</v>
      </c>
    </row>
    <row r="89" spans="1:19" x14ac:dyDescent="0.25">
      <c r="A89">
        <v>363</v>
      </c>
      <c r="B89">
        <v>3</v>
      </c>
      <c r="C89">
        <v>1</v>
      </c>
      <c r="D89">
        <v>1</v>
      </c>
      <c r="F89" s="5">
        <v>44699</v>
      </c>
      <c r="G89" s="7">
        <v>0.41524305555555557</v>
      </c>
      <c r="H89" t="s">
        <v>15</v>
      </c>
      <c r="I89" t="s">
        <v>16</v>
      </c>
      <c r="L89" t="str">
        <f>IF(C89=0,H89,IF(C89=1,I89,IF(C89=2,J89,IF(C89=3,K89))))</f>
        <v>red_pencil.jpg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3</v>
      </c>
      <c r="P89">
        <f t="shared" ref="P89" si="172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2</v>
      </c>
      <c r="Q89">
        <f t="shared" ref="Q89" si="173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0</v>
      </c>
      <c r="R89">
        <f t="shared" ref="R89" si="174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5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2</v>
      </c>
    </row>
    <row r="90" spans="1:19" hidden="1" x14ac:dyDescent="0.25">
      <c r="A90">
        <v>364</v>
      </c>
      <c r="B90">
        <v>3</v>
      </c>
      <c r="C90">
        <v>1</v>
      </c>
      <c r="F90" s="5">
        <v>44699</v>
      </c>
      <c r="G90" s="1">
        <v>0.4153587962962963</v>
      </c>
    </row>
    <row r="91" spans="1:19" x14ac:dyDescent="0.25">
      <c r="A91">
        <v>366</v>
      </c>
      <c r="B91">
        <v>3</v>
      </c>
      <c r="C91">
        <v>1</v>
      </c>
      <c r="D91">
        <v>0</v>
      </c>
      <c r="F91" s="5">
        <v>44699</v>
      </c>
      <c r="G91" s="7">
        <v>0.41540509259259256</v>
      </c>
      <c r="H91" t="s">
        <v>17</v>
      </c>
      <c r="I91" t="s">
        <v>14</v>
      </c>
      <c r="J91" t="s">
        <v>16</v>
      </c>
      <c r="L91" t="str">
        <f>IF(C91=0,H91,IF(C91=1,I91,IF(C91=2,J91,IF(C91=3,K91))))</f>
        <v>blue_pencil.jpg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1</v>
      </c>
      <c r="P91">
        <f t="shared" ref="P91" si="176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4</v>
      </c>
      <c r="Q91">
        <f t="shared" ref="Q91" si="177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2</v>
      </c>
      <c r="R91">
        <f t="shared" ref="R91" si="178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9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4</v>
      </c>
    </row>
    <row r="92" spans="1:19" hidden="1" x14ac:dyDescent="0.25">
      <c r="A92">
        <v>367</v>
      </c>
      <c r="B92">
        <v>3</v>
      </c>
      <c r="C92">
        <v>2</v>
      </c>
      <c r="F92" s="5">
        <v>44699</v>
      </c>
      <c r="G92" s="1">
        <v>0.41550925925925924</v>
      </c>
    </row>
    <row r="93" spans="1:19" x14ac:dyDescent="0.25">
      <c r="A93">
        <v>369</v>
      </c>
      <c r="B93">
        <v>3</v>
      </c>
      <c r="C93">
        <v>2</v>
      </c>
      <c r="D93">
        <v>1</v>
      </c>
      <c r="F93" s="5">
        <v>44699</v>
      </c>
      <c r="G93" s="7">
        <v>0.4155787037037037</v>
      </c>
      <c r="H93" t="s">
        <v>18</v>
      </c>
      <c r="I93" t="s">
        <v>19</v>
      </c>
      <c r="J93" t="s">
        <v>21</v>
      </c>
      <c r="K93" t="s">
        <v>20</v>
      </c>
      <c r="L93" t="str">
        <f>IF(C93=0,H93,IF(C93=1,I93,IF(C93=2,J93,IF(C93=3,K93))))</f>
        <v>pen1.jpg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12</v>
      </c>
      <c r="P93">
        <f t="shared" ref="P93" si="180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10</v>
      </c>
      <c r="Q93">
        <f t="shared" ref="Q93" si="181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9</v>
      </c>
      <c r="R93">
        <f t="shared" ref="R93" si="182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11</v>
      </c>
      <c r="S93">
        <f t="shared" ref="S93" si="183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9</v>
      </c>
    </row>
    <row r="94" spans="1:19" hidden="1" x14ac:dyDescent="0.25">
      <c r="A94">
        <v>3</v>
      </c>
      <c r="B94">
        <v>4</v>
      </c>
      <c r="C94">
        <v>0</v>
      </c>
      <c r="F94" s="5">
        <v>44699</v>
      </c>
      <c r="G94" s="1">
        <v>0.41065972222222219</v>
      </c>
    </row>
    <row r="95" spans="1:19" x14ac:dyDescent="0.25">
      <c r="A95">
        <v>24</v>
      </c>
      <c r="B95">
        <v>4</v>
      </c>
      <c r="C95">
        <v>0</v>
      </c>
      <c r="D95">
        <v>1</v>
      </c>
      <c r="F95" s="5">
        <v>44699</v>
      </c>
      <c r="G95" s="7">
        <v>0.41114583333333332</v>
      </c>
      <c r="H95" t="s">
        <v>14</v>
      </c>
      <c r="I95" t="s">
        <v>16</v>
      </c>
      <c r="J95" t="s">
        <v>17</v>
      </c>
      <c r="L95" t="str">
        <f>IF(C95=0,H95,IF(C95=1,I95,IF(C95=2,J95,IF(C95=3,K95))))</f>
        <v>blue_pencil.jpg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4</v>
      </c>
      <c r="P95">
        <f t="shared" ref="P95" si="184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2</v>
      </c>
      <c r="Q95">
        <f t="shared" ref="Q95" si="185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1</v>
      </c>
      <c r="R95">
        <f t="shared" ref="R95" si="186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7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4</v>
      </c>
    </row>
    <row r="96" spans="1:19" hidden="1" x14ac:dyDescent="0.25">
      <c r="A96">
        <v>32</v>
      </c>
      <c r="B96">
        <v>4</v>
      </c>
      <c r="C96">
        <v>0</v>
      </c>
      <c r="F96" s="5">
        <v>44699</v>
      </c>
      <c r="G96" s="1">
        <v>0.4112615740740741</v>
      </c>
    </row>
    <row r="97" spans="1:19" x14ac:dyDescent="0.25">
      <c r="A97">
        <v>59</v>
      </c>
      <c r="B97">
        <v>4</v>
      </c>
      <c r="C97">
        <v>0</v>
      </c>
      <c r="D97">
        <v>1</v>
      </c>
      <c r="F97" s="5">
        <v>44699</v>
      </c>
      <c r="G97" s="7">
        <v>0.41163194444444445</v>
      </c>
      <c r="H97" t="s">
        <v>15</v>
      </c>
      <c r="I97" t="s">
        <v>14</v>
      </c>
      <c r="L97" t="str">
        <f>IF(C97=0,H97,IF(C97=1,I97,IF(C97=2,J97,IF(C97=3,K97))))</f>
        <v>orange_pencil.jpg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3</v>
      </c>
      <c r="P97">
        <f t="shared" ref="P97" si="188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4</v>
      </c>
      <c r="Q97">
        <f t="shared" ref="Q97" si="189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0</v>
      </c>
      <c r="R97">
        <f t="shared" ref="R97" si="190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91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3</v>
      </c>
    </row>
    <row r="98" spans="1:19" hidden="1" x14ac:dyDescent="0.25">
      <c r="A98">
        <v>66</v>
      </c>
      <c r="B98">
        <v>4</v>
      </c>
      <c r="C98">
        <v>0</v>
      </c>
      <c r="F98" s="5">
        <v>44699</v>
      </c>
      <c r="G98" s="1">
        <v>0.41174768518518517</v>
      </c>
    </row>
    <row r="99" spans="1:19" x14ac:dyDescent="0.25">
      <c r="A99">
        <v>74</v>
      </c>
      <c r="B99">
        <v>4</v>
      </c>
      <c r="C99">
        <v>0</v>
      </c>
      <c r="D99">
        <v>3</v>
      </c>
      <c r="F99" s="5">
        <v>44699</v>
      </c>
      <c r="G99" s="7">
        <v>0.41180555555555554</v>
      </c>
      <c r="H99" t="s">
        <v>16</v>
      </c>
      <c r="I99" t="s">
        <v>14</v>
      </c>
      <c r="J99" t="s">
        <v>15</v>
      </c>
      <c r="K99" t="s">
        <v>17</v>
      </c>
      <c r="L99" t="str">
        <f>IF(C99=0,H99,IF(C99=1,I99,IF(C99=2,J99,IF(C99=3,K99))))</f>
        <v>red_pencil.jpg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2</v>
      </c>
      <c r="P99">
        <f t="shared" ref="P99" si="192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4</v>
      </c>
      <c r="Q99">
        <f t="shared" ref="Q99" si="193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3</v>
      </c>
      <c r="R99">
        <f t="shared" ref="R99" si="194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1</v>
      </c>
      <c r="S99">
        <f t="shared" ref="S99" si="195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2</v>
      </c>
    </row>
    <row r="100" spans="1:19" hidden="1" x14ac:dyDescent="0.25">
      <c r="A100">
        <v>82</v>
      </c>
      <c r="B100">
        <v>4</v>
      </c>
      <c r="C100">
        <v>0</v>
      </c>
      <c r="F100" s="5">
        <v>44699</v>
      </c>
      <c r="G100" s="1">
        <v>0.41190972222222227</v>
      </c>
    </row>
    <row r="101" spans="1:19" x14ac:dyDescent="0.25">
      <c r="A101">
        <v>87</v>
      </c>
      <c r="B101">
        <v>4</v>
      </c>
      <c r="C101">
        <v>0</v>
      </c>
      <c r="D101">
        <v>0</v>
      </c>
      <c r="F101" s="5">
        <v>44699</v>
      </c>
      <c r="G101" s="7">
        <v>0.41197916666666662</v>
      </c>
      <c r="H101" t="s">
        <v>17</v>
      </c>
      <c r="I101" t="s">
        <v>14</v>
      </c>
      <c r="L101" t="str">
        <f>IF(C101=0,H101,IF(C101=1,I101,IF(C101=2,J101,IF(C101=3,K101))))</f>
        <v>yellow_pencil.jpg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1</v>
      </c>
      <c r="P101">
        <f t="shared" ref="P101" si="196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4</v>
      </c>
      <c r="Q101">
        <f t="shared" ref="Q101" si="197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0</v>
      </c>
      <c r="R101">
        <f t="shared" ref="R101" si="198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9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1</v>
      </c>
    </row>
    <row r="102" spans="1:19" hidden="1" x14ac:dyDescent="0.25">
      <c r="A102">
        <v>97</v>
      </c>
      <c r="B102">
        <v>4</v>
      </c>
      <c r="C102">
        <v>0</v>
      </c>
      <c r="F102" s="5">
        <v>44699</v>
      </c>
      <c r="G102" s="1">
        <v>0.41210648148148149</v>
      </c>
    </row>
    <row r="103" spans="1:19" x14ac:dyDescent="0.25">
      <c r="A103">
        <v>106</v>
      </c>
      <c r="B103">
        <v>4</v>
      </c>
      <c r="C103">
        <v>0</v>
      </c>
      <c r="D103">
        <v>0</v>
      </c>
      <c r="F103" s="5">
        <v>44699</v>
      </c>
      <c r="G103" s="7">
        <v>0.41218749999999998</v>
      </c>
      <c r="H103" t="s">
        <v>16</v>
      </c>
      <c r="I103" t="s">
        <v>15</v>
      </c>
      <c r="J103" t="s">
        <v>14</v>
      </c>
      <c r="L103" t="str">
        <f>IF(C103=0,H103,IF(C103=1,I103,IF(C103=2,J103,IF(C103=3,K103))))</f>
        <v>red_pencil.jpg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2</v>
      </c>
      <c r="P103">
        <f t="shared" ref="P103" si="200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3</v>
      </c>
      <c r="Q103">
        <f t="shared" ref="Q103" si="201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4</v>
      </c>
      <c r="R103">
        <f t="shared" ref="R103" si="202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3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2</v>
      </c>
    </row>
    <row r="104" spans="1:19" hidden="1" x14ac:dyDescent="0.25">
      <c r="A104">
        <v>116</v>
      </c>
      <c r="B104">
        <v>4</v>
      </c>
      <c r="C104">
        <v>0</v>
      </c>
      <c r="F104" s="5">
        <v>44699</v>
      </c>
      <c r="G104" s="1">
        <v>0.4123148148148148</v>
      </c>
    </row>
    <row r="105" spans="1:19" x14ac:dyDescent="0.25">
      <c r="A105">
        <v>125</v>
      </c>
      <c r="B105">
        <v>4</v>
      </c>
      <c r="C105">
        <v>0</v>
      </c>
      <c r="D105">
        <v>0</v>
      </c>
      <c r="F105" s="5">
        <v>44699</v>
      </c>
      <c r="G105" s="7">
        <v>0.41241898148148143</v>
      </c>
      <c r="H105" t="s">
        <v>17</v>
      </c>
      <c r="I105" t="s">
        <v>15</v>
      </c>
      <c r="L105" t="str">
        <f>IF(C105=0,H105,IF(C105=1,I105,IF(C105=2,J105,IF(C105=3,K105))))</f>
        <v>yellow_pencil.jpg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1</v>
      </c>
      <c r="P105">
        <f t="shared" ref="P105" si="204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3</v>
      </c>
      <c r="Q105">
        <f t="shared" ref="Q105" si="205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0</v>
      </c>
      <c r="R105">
        <f t="shared" ref="R105" si="206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7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1</v>
      </c>
    </row>
    <row r="106" spans="1:19" hidden="1" x14ac:dyDescent="0.25">
      <c r="A106">
        <v>135</v>
      </c>
      <c r="B106">
        <v>4</v>
      </c>
      <c r="C106">
        <v>0</v>
      </c>
      <c r="F106" s="5">
        <v>44699</v>
      </c>
      <c r="G106" s="1">
        <v>0.41253472222222221</v>
      </c>
    </row>
    <row r="107" spans="1:19" x14ac:dyDescent="0.25">
      <c r="A107">
        <v>141</v>
      </c>
      <c r="B107">
        <v>4</v>
      </c>
      <c r="C107">
        <v>0</v>
      </c>
      <c r="D107">
        <v>1</v>
      </c>
      <c r="F107" s="5">
        <v>44699</v>
      </c>
      <c r="G107" s="7">
        <v>0.41258101851851853</v>
      </c>
      <c r="H107" t="s">
        <v>14</v>
      </c>
      <c r="I107" t="s">
        <v>16</v>
      </c>
      <c r="L107" t="str">
        <f>IF(C107=0,H107,IF(C107=1,I107,IF(C107=2,J107,IF(C107=3,K107))))</f>
        <v>blue_pencil.jpg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4</v>
      </c>
      <c r="P107">
        <f t="shared" ref="P107" si="208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2</v>
      </c>
      <c r="Q107">
        <f t="shared" ref="Q107" si="209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10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11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4</v>
      </c>
    </row>
    <row r="108" spans="1:19" hidden="1" x14ac:dyDescent="0.25">
      <c r="A108">
        <v>151</v>
      </c>
      <c r="B108">
        <v>4</v>
      </c>
      <c r="C108">
        <v>0</v>
      </c>
      <c r="F108" s="5">
        <v>44699</v>
      </c>
      <c r="G108" s="1">
        <v>0.41268518518518515</v>
      </c>
    </row>
    <row r="109" spans="1:19" x14ac:dyDescent="0.25">
      <c r="A109">
        <v>159</v>
      </c>
      <c r="B109">
        <v>4</v>
      </c>
      <c r="C109">
        <v>0</v>
      </c>
      <c r="D109">
        <v>1</v>
      </c>
      <c r="F109" s="5">
        <v>44699</v>
      </c>
      <c r="G109" s="7">
        <v>0.41275462962962961</v>
      </c>
      <c r="H109" t="s">
        <v>17</v>
      </c>
      <c r="I109" t="s">
        <v>16</v>
      </c>
      <c r="J109" t="s">
        <v>15</v>
      </c>
      <c r="L109" t="str">
        <f>IF(C109=0,H109,IF(C109=1,I109,IF(C109=2,J109,IF(C109=3,K109))))</f>
        <v>yellow_pencil.jpg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1</v>
      </c>
      <c r="P109">
        <f t="shared" ref="P109" si="212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2</v>
      </c>
      <c r="Q109">
        <f t="shared" ref="Q109" si="213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3</v>
      </c>
      <c r="R109">
        <f t="shared" ref="R109" si="214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5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1</v>
      </c>
    </row>
    <row r="110" spans="1:19" hidden="1" x14ac:dyDescent="0.25">
      <c r="A110">
        <v>169</v>
      </c>
      <c r="B110">
        <v>4</v>
      </c>
      <c r="C110">
        <v>0</v>
      </c>
      <c r="F110" s="5">
        <v>44699</v>
      </c>
      <c r="G110" s="1">
        <v>0.41285879629629635</v>
      </c>
    </row>
    <row r="111" spans="1:19" x14ac:dyDescent="0.25">
      <c r="A111">
        <v>172</v>
      </c>
      <c r="B111">
        <v>4</v>
      </c>
      <c r="C111">
        <v>0</v>
      </c>
      <c r="D111">
        <v>1</v>
      </c>
      <c r="F111" s="5">
        <v>44699</v>
      </c>
      <c r="G111" s="7">
        <v>0.41292824074074069</v>
      </c>
      <c r="H111" t="s">
        <v>17</v>
      </c>
      <c r="I111" t="s">
        <v>15</v>
      </c>
      <c r="J111" t="s">
        <v>14</v>
      </c>
      <c r="L111" t="str">
        <f>IF(C111=0,H111,IF(C111=1,I111,IF(C111=2,J111,IF(C111=3,K111))))</f>
        <v>yellow_pencil.jpg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1</v>
      </c>
      <c r="P111">
        <f t="shared" ref="P111" si="216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3</v>
      </c>
      <c r="Q111">
        <f t="shared" ref="Q111" si="217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4</v>
      </c>
      <c r="R111">
        <f t="shared" ref="R111" si="218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9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1</v>
      </c>
    </row>
    <row r="112" spans="1:19" hidden="1" x14ac:dyDescent="0.25">
      <c r="A112">
        <v>184</v>
      </c>
      <c r="B112">
        <v>4</v>
      </c>
      <c r="C112">
        <v>0</v>
      </c>
      <c r="F112" s="5">
        <v>44699</v>
      </c>
      <c r="G112" s="1">
        <v>0.41303240740740743</v>
      </c>
    </row>
    <row r="113" spans="1:19" x14ac:dyDescent="0.25">
      <c r="A113">
        <v>187</v>
      </c>
      <c r="B113">
        <v>4</v>
      </c>
      <c r="C113">
        <v>0</v>
      </c>
      <c r="D113">
        <v>0</v>
      </c>
      <c r="F113" s="5">
        <v>44699</v>
      </c>
      <c r="G113" s="7">
        <v>0.41309027777777779</v>
      </c>
      <c r="H113" t="s">
        <v>16</v>
      </c>
      <c r="I113" t="s">
        <v>15</v>
      </c>
      <c r="L113" t="str">
        <f>IF(C113=0,H113,IF(C113=1,I113,IF(C113=2,J113,IF(C113=3,K113))))</f>
        <v>red_pencil.jpg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2</v>
      </c>
      <c r="P113">
        <f t="shared" ref="P113" si="220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3</v>
      </c>
      <c r="Q113">
        <f t="shared" ref="Q113" si="221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0</v>
      </c>
      <c r="R113">
        <f t="shared" ref="R113" si="222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3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2</v>
      </c>
    </row>
    <row r="114" spans="1:19" hidden="1" x14ac:dyDescent="0.25">
      <c r="A114">
        <v>199</v>
      </c>
      <c r="B114">
        <v>4</v>
      </c>
      <c r="C114">
        <v>0</v>
      </c>
      <c r="F114" s="5">
        <v>44699</v>
      </c>
      <c r="G114" s="1">
        <v>0.41320601851851851</v>
      </c>
    </row>
    <row r="115" spans="1:19" x14ac:dyDescent="0.25">
      <c r="A115">
        <v>202</v>
      </c>
      <c r="B115">
        <v>4</v>
      </c>
      <c r="C115">
        <v>0</v>
      </c>
      <c r="D115">
        <v>0</v>
      </c>
      <c r="F115" s="5">
        <v>44699</v>
      </c>
      <c r="G115" s="7">
        <v>0.4132291666666667</v>
      </c>
      <c r="H115" t="s">
        <v>17</v>
      </c>
      <c r="I115" t="s">
        <v>16</v>
      </c>
      <c r="L115" t="str">
        <f>IF(C115=0,H115,IF(C115=1,I115,IF(C115=2,J115,IF(C115=3,K115))))</f>
        <v>yellow_pencil.jpg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1</v>
      </c>
      <c r="P115">
        <f t="shared" ref="P115" si="224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2</v>
      </c>
      <c r="Q115">
        <f t="shared" ref="Q115" si="225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0</v>
      </c>
      <c r="R115">
        <f t="shared" ref="R115" si="226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7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1</v>
      </c>
    </row>
    <row r="116" spans="1:19" hidden="1" x14ac:dyDescent="0.25">
      <c r="A116">
        <v>215</v>
      </c>
      <c r="B116">
        <v>4</v>
      </c>
      <c r="C116">
        <v>1</v>
      </c>
      <c r="F116" s="5">
        <v>44699</v>
      </c>
      <c r="G116" s="1">
        <v>0.41335648148148146</v>
      </c>
    </row>
    <row r="117" spans="1:19" x14ac:dyDescent="0.25">
      <c r="A117">
        <v>219</v>
      </c>
      <c r="B117">
        <v>4</v>
      </c>
      <c r="C117">
        <v>1</v>
      </c>
      <c r="D117">
        <v>0</v>
      </c>
      <c r="F117" s="5">
        <v>44699</v>
      </c>
      <c r="G117" s="7">
        <v>0.41340277777777779</v>
      </c>
      <c r="H117" t="s">
        <v>11</v>
      </c>
      <c r="I117" t="s">
        <v>13</v>
      </c>
      <c r="J117" t="s">
        <v>9</v>
      </c>
      <c r="L117" t="str">
        <f>IF(C117=0,H117,IF(C117=1,I117,IF(C117=2,J117,IF(C117=3,K117))))</f>
        <v>yellow_pen.jpg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6</v>
      </c>
      <c r="P117">
        <f t="shared" ref="P117" si="228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5</v>
      </c>
      <c r="Q117">
        <f t="shared" ref="Q117" si="229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8</v>
      </c>
      <c r="R117">
        <f t="shared" ref="R117" si="230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31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5</v>
      </c>
    </row>
    <row r="118" spans="1:19" hidden="1" x14ac:dyDescent="0.25">
      <c r="A118">
        <v>229</v>
      </c>
      <c r="B118">
        <v>4</v>
      </c>
      <c r="C118">
        <v>1</v>
      </c>
      <c r="F118" s="5">
        <v>44699</v>
      </c>
      <c r="G118" s="1">
        <v>0.41350694444444441</v>
      </c>
    </row>
    <row r="119" spans="1:19" x14ac:dyDescent="0.25">
      <c r="A119">
        <v>233</v>
      </c>
      <c r="B119">
        <v>4</v>
      </c>
      <c r="C119">
        <v>1</v>
      </c>
      <c r="D119">
        <v>2</v>
      </c>
      <c r="F119" s="5">
        <v>44699</v>
      </c>
      <c r="G119" s="7">
        <v>0.4135416666666667</v>
      </c>
      <c r="H119" t="s">
        <v>11</v>
      </c>
      <c r="I119" t="s">
        <v>10</v>
      </c>
      <c r="J119" t="s">
        <v>13</v>
      </c>
      <c r="L119" t="str">
        <f>IF(C119=0,H119,IF(C119=1,I119,IF(C119=2,J119,IF(C119=3,K119))))</f>
        <v>blue_pen.jpg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6</v>
      </c>
      <c r="P119">
        <f t="shared" ref="P119" si="232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7</v>
      </c>
      <c r="Q119">
        <f t="shared" ref="Q119" si="233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5</v>
      </c>
      <c r="R119">
        <f t="shared" ref="R119" si="234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5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7</v>
      </c>
    </row>
    <row r="120" spans="1:19" hidden="1" x14ac:dyDescent="0.25">
      <c r="A120">
        <v>242</v>
      </c>
      <c r="B120">
        <v>4</v>
      </c>
      <c r="C120">
        <v>1</v>
      </c>
      <c r="F120" s="5">
        <v>44699</v>
      </c>
      <c r="G120" s="1">
        <v>0.41364583333333332</v>
      </c>
    </row>
    <row r="121" spans="1:19" x14ac:dyDescent="0.25">
      <c r="A121">
        <v>244</v>
      </c>
      <c r="B121">
        <v>4</v>
      </c>
      <c r="C121">
        <v>1</v>
      </c>
      <c r="D121">
        <v>1</v>
      </c>
      <c r="F121" s="5">
        <v>44699</v>
      </c>
      <c r="G121" s="7">
        <v>0.41369212962962965</v>
      </c>
      <c r="H121" t="s">
        <v>11</v>
      </c>
      <c r="I121" t="s">
        <v>10</v>
      </c>
      <c r="J121" t="s">
        <v>9</v>
      </c>
      <c r="L121" t="str">
        <f>IF(C121=0,H121,IF(C121=1,I121,IF(C121=2,J121,IF(C121=3,K121))))</f>
        <v>blue_pen.jpg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6</v>
      </c>
      <c r="P121">
        <f t="shared" ref="P121" si="236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7</v>
      </c>
      <c r="Q121">
        <f t="shared" ref="Q121" si="237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8</v>
      </c>
      <c r="R121">
        <f t="shared" ref="R121" si="238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9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7</v>
      </c>
    </row>
    <row r="122" spans="1:19" hidden="1" x14ac:dyDescent="0.25">
      <c r="A122">
        <v>251</v>
      </c>
      <c r="B122">
        <v>4</v>
      </c>
      <c r="C122">
        <v>1</v>
      </c>
      <c r="F122" s="5">
        <v>44699</v>
      </c>
      <c r="G122" s="1">
        <v>0.41381944444444446</v>
      </c>
    </row>
    <row r="123" spans="1:19" x14ac:dyDescent="0.25">
      <c r="A123">
        <v>257</v>
      </c>
      <c r="B123">
        <v>4</v>
      </c>
      <c r="C123">
        <v>1</v>
      </c>
      <c r="D123">
        <v>1</v>
      </c>
      <c r="F123" s="5">
        <v>44699</v>
      </c>
      <c r="G123" s="7">
        <v>0.41385416666666663</v>
      </c>
      <c r="H123" t="s">
        <v>10</v>
      </c>
      <c r="I123" t="s">
        <v>13</v>
      </c>
      <c r="L123" t="str">
        <f>IF(C123=0,H123,IF(C123=1,I123,IF(C123=2,J123,IF(C123=3,K123))))</f>
        <v>yellow_pen.jpg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7</v>
      </c>
      <c r="P123">
        <f t="shared" ref="P123" si="240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5</v>
      </c>
      <c r="Q123">
        <f t="shared" ref="Q123" si="241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0</v>
      </c>
      <c r="R123">
        <f t="shared" ref="R123" si="242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3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5</v>
      </c>
    </row>
    <row r="124" spans="1:19" hidden="1" x14ac:dyDescent="0.25">
      <c r="A124">
        <v>264</v>
      </c>
      <c r="B124">
        <v>4</v>
      </c>
      <c r="C124">
        <v>1</v>
      </c>
      <c r="F124" s="5">
        <v>44699</v>
      </c>
      <c r="G124" s="1">
        <v>0.41394675925925922</v>
      </c>
    </row>
    <row r="125" spans="1:19" x14ac:dyDescent="0.25">
      <c r="A125">
        <v>272</v>
      </c>
      <c r="B125">
        <v>4</v>
      </c>
      <c r="C125">
        <v>1</v>
      </c>
      <c r="D125">
        <v>0</v>
      </c>
      <c r="F125" s="5">
        <v>44699</v>
      </c>
      <c r="G125" s="7">
        <v>0.41399305555555554</v>
      </c>
      <c r="H125" t="s">
        <v>13</v>
      </c>
      <c r="I125" t="s">
        <v>10</v>
      </c>
      <c r="J125" t="s">
        <v>9</v>
      </c>
      <c r="L125" t="str">
        <f>IF(C125=0,H125,IF(C125=1,I125,IF(C125=2,J125,IF(C125=3,K125))))</f>
        <v>blue_pen.jpg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5</v>
      </c>
      <c r="P125">
        <f t="shared" ref="P125" si="244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7</v>
      </c>
      <c r="Q125">
        <f t="shared" ref="Q125" si="245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8</v>
      </c>
      <c r="R125">
        <f t="shared" ref="R125" si="246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7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7</v>
      </c>
    </row>
    <row r="126" spans="1:19" hidden="1" x14ac:dyDescent="0.25">
      <c r="A126">
        <v>281</v>
      </c>
      <c r="B126">
        <v>4</v>
      </c>
      <c r="C126">
        <v>1</v>
      </c>
      <c r="F126" s="5">
        <v>44699</v>
      </c>
      <c r="G126" s="1">
        <v>0.41415509259259259</v>
      </c>
    </row>
    <row r="127" spans="1:19" x14ac:dyDescent="0.25">
      <c r="A127">
        <v>294</v>
      </c>
      <c r="B127">
        <v>4</v>
      </c>
      <c r="C127">
        <v>1</v>
      </c>
      <c r="D127">
        <v>1</v>
      </c>
      <c r="F127" s="5">
        <v>44699</v>
      </c>
      <c r="G127" s="7">
        <v>0.41425925925925927</v>
      </c>
      <c r="H127" t="s">
        <v>9</v>
      </c>
      <c r="I127" t="s">
        <v>11</v>
      </c>
      <c r="L127" t="str">
        <f t="shared" ref="L127" si="248">IF(C127=0,H127,IF(C127=1,I127,IF(C127=2,J127,IF(C127=3,K127))))</f>
        <v>red_pen.jpg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8</v>
      </c>
      <c r="P127">
        <f t="shared" ref="P127" si="249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6</v>
      </c>
      <c r="Q127">
        <f t="shared" ref="Q127" si="250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0</v>
      </c>
      <c r="R127">
        <f t="shared" ref="R127" si="251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52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6</v>
      </c>
    </row>
    <row r="128" spans="1:19" hidden="1" x14ac:dyDescent="0.25">
      <c r="A128">
        <v>304</v>
      </c>
      <c r="B128">
        <v>4</v>
      </c>
      <c r="C128">
        <v>1</v>
      </c>
      <c r="F128" s="5">
        <v>44699</v>
      </c>
      <c r="G128" s="1">
        <v>0.41437499999999999</v>
      </c>
    </row>
    <row r="129" spans="1:19" x14ac:dyDescent="0.25">
      <c r="A129">
        <v>311</v>
      </c>
      <c r="B129">
        <v>4</v>
      </c>
      <c r="C129">
        <v>1</v>
      </c>
      <c r="D129">
        <v>0</v>
      </c>
      <c r="F129" s="5">
        <v>44699</v>
      </c>
      <c r="G129" s="7">
        <v>0.41445601851851849</v>
      </c>
      <c r="H129" t="s">
        <v>9</v>
      </c>
      <c r="I129" t="s">
        <v>10</v>
      </c>
      <c r="J129" t="s">
        <v>13</v>
      </c>
      <c r="K129" t="s">
        <v>11</v>
      </c>
      <c r="L129" t="str">
        <f>IF(C129=0,H129,IF(C129=1,I129,IF(C129=2,J129,IF(C129=3,K129))))</f>
        <v>blue_pen.jpg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8</v>
      </c>
      <c r="P129">
        <f t="shared" ref="P129" si="253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7</v>
      </c>
      <c r="Q129">
        <f t="shared" ref="Q129" si="254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5</v>
      </c>
      <c r="R129">
        <f t="shared" ref="R129" si="255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6</v>
      </c>
      <c r="S129">
        <f t="shared" ref="S129" si="256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7</v>
      </c>
    </row>
    <row r="130" spans="1:19" hidden="1" x14ac:dyDescent="0.25">
      <c r="A130">
        <v>322</v>
      </c>
      <c r="B130">
        <v>4</v>
      </c>
      <c r="C130">
        <v>1</v>
      </c>
      <c r="F130" s="5">
        <v>44699</v>
      </c>
      <c r="G130" s="1">
        <v>0.41457175925925926</v>
      </c>
    </row>
    <row r="131" spans="1:19" x14ac:dyDescent="0.25">
      <c r="A131">
        <v>326</v>
      </c>
      <c r="B131">
        <v>4</v>
      </c>
      <c r="C131">
        <v>1</v>
      </c>
      <c r="D131">
        <v>1</v>
      </c>
      <c r="F131" s="5">
        <v>44699</v>
      </c>
      <c r="G131" s="7">
        <v>0.41460648148148144</v>
      </c>
      <c r="H131" t="s">
        <v>11</v>
      </c>
      <c r="I131" t="s">
        <v>13</v>
      </c>
      <c r="L131" t="str">
        <f>IF(C131=0,H131,IF(C131=1,I131,IF(C131=2,J131,IF(C131=3,K131))))</f>
        <v>yellow_pen.jpg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6</v>
      </c>
      <c r="P131">
        <f t="shared" ref="P131" si="257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5</v>
      </c>
      <c r="Q131">
        <f t="shared" ref="Q131" si="258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0</v>
      </c>
      <c r="R131">
        <f t="shared" ref="R131" si="259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60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5</v>
      </c>
    </row>
    <row r="132" spans="1:19" hidden="1" x14ac:dyDescent="0.25">
      <c r="A132">
        <v>337</v>
      </c>
      <c r="B132">
        <v>4</v>
      </c>
      <c r="C132">
        <v>1</v>
      </c>
      <c r="F132" s="5">
        <v>44699</v>
      </c>
      <c r="G132" s="1">
        <v>0.41473379629629631</v>
      </c>
    </row>
    <row r="133" spans="1:19" x14ac:dyDescent="0.25">
      <c r="A133">
        <v>339</v>
      </c>
      <c r="B133">
        <v>4</v>
      </c>
      <c r="C133">
        <v>1</v>
      </c>
      <c r="D133">
        <v>1</v>
      </c>
      <c r="F133" s="5">
        <v>44699</v>
      </c>
      <c r="G133" s="7">
        <v>0.41476851851851854</v>
      </c>
      <c r="H133" t="s">
        <v>10</v>
      </c>
      <c r="I133" t="s">
        <v>11</v>
      </c>
      <c r="L133" t="str">
        <f>IF(C133=0,H133,IF(C133=1,I133,IF(C133=2,J133,IF(C133=3,K133))))</f>
        <v>red_pen.jpg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7</v>
      </c>
      <c r="P133">
        <f t="shared" ref="P133" si="261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6</v>
      </c>
      <c r="Q133">
        <f t="shared" ref="Q133" si="262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0</v>
      </c>
      <c r="R133">
        <f t="shared" ref="R133" si="263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4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6</v>
      </c>
    </row>
    <row r="134" spans="1:19" hidden="1" x14ac:dyDescent="0.25">
      <c r="A134">
        <v>345</v>
      </c>
      <c r="B134">
        <v>4</v>
      </c>
      <c r="C134">
        <v>1</v>
      </c>
      <c r="F134" s="5">
        <v>44699</v>
      </c>
      <c r="G134" s="1">
        <v>0.41488425925925926</v>
      </c>
    </row>
    <row r="135" spans="1:19" x14ac:dyDescent="0.25">
      <c r="A135">
        <v>350</v>
      </c>
      <c r="B135">
        <v>4</v>
      </c>
      <c r="C135">
        <v>1</v>
      </c>
      <c r="D135">
        <v>1</v>
      </c>
      <c r="F135" s="5">
        <v>44699</v>
      </c>
      <c r="G135" s="7">
        <v>0.41496527777777775</v>
      </c>
      <c r="H135" t="s">
        <v>9</v>
      </c>
      <c r="I135" t="s">
        <v>10</v>
      </c>
      <c r="L135" t="str">
        <f t="shared" ref="L135" si="265">IF(C135=0,H135,IF(C135=1,I135,IF(C135=2,J135,IF(C135=3,K135))))</f>
        <v>blue_pen.jpg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8</v>
      </c>
      <c r="P135">
        <f t="shared" ref="P135" si="266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7</v>
      </c>
      <c r="Q135">
        <f t="shared" ref="Q135" si="267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0</v>
      </c>
      <c r="R135">
        <f t="shared" ref="R135" si="268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9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7</v>
      </c>
    </row>
    <row r="136" spans="1:19" hidden="1" x14ac:dyDescent="0.25">
      <c r="A136">
        <v>355</v>
      </c>
      <c r="B136">
        <v>4</v>
      </c>
      <c r="C136">
        <v>1</v>
      </c>
      <c r="F136" s="5">
        <v>44699</v>
      </c>
      <c r="G136" s="1">
        <v>0.41508101851851853</v>
      </c>
    </row>
    <row r="137" spans="1:19" x14ac:dyDescent="0.25">
      <c r="A137">
        <v>357</v>
      </c>
      <c r="B137">
        <v>4</v>
      </c>
      <c r="C137">
        <v>1</v>
      </c>
      <c r="D137">
        <v>1</v>
      </c>
      <c r="F137" s="5">
        <v>44699</v>
      </c>
      <c r="G137" s="7">
        <v>0.4151157407407407</v>
      </c>
      <c r="H137" t="s">
        <v>13</v>
      </c>
      <c r="I137" t="s">
        <v>9</v>
      </c>
      <c r="L137" t="str">
        <f>IF(C137=0,H137,IF(C137=1,I137,IF(C137=2,J137,IF(C137=3,K137))))</f>
        <v>green_pen.jpg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5</v>
      </c>
      <c r="P137">
        <f t="shared" ref="P137" si="270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8</v>
      </c>
      <c r="Q137">
        <f t="shared" ref="Q137" si="271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0</v>
      </c>
      <c r="R137">
        <f t="shared" ref="R137" si="272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73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8</v>
      </c>
    </row>
    <row r="138" spans="1:19" hidden="1" x14ac:dyDescent="0.25">
      <c r="A138">
        <v>361</v>
      </c>
      <c r="B138">
        <v>4</v>
      </c>
      <c r="C138">
        <v>2</v>
      </c>
      <c r="F138" s="5">
        <v>44699</v>
      </c>
      <c r="G138" s="1">
        <v>0.41521990740740744</v>
      </c>
    </row>
    <row r="139" spans="1:19" x14ac:dyDescent="0.25">
      <c r="A139">
        <v>371</v>
      </c>
      <c r="B139">
        <v>4</v>
      </c>
      <c r="C139">
        <v>2</v>
      </c>
      <c r="D139">
        <v>1</v>
      </c>
      <c r="F139" s="5">
        <v>44699</v>
      </c>
      <c r="G139" s="7">
        <v>0.41574074074074074</v>
      </c>
      <c r="H139" t="s">
        <v>20</v>
      </c>
      <c r="I139" t="s">
        <v>19</v>
      </c>
      <c r="J139" t="s">
        <v>18</v>
      </c>
      <c r="K139" t="s">
        <v>21</v>
      </c>
      <c r="L139" t="str">
        <f>IF(C139=0,H139,IF(C139=1,I139,IF(C139=2,J139,IF(C139=3,K139))))</f>
        <v>pen4.jpg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11</v>
      </c>
      <c r="P139">
        <f t="shared" ref="P139" si="274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10</v>
      </c>
      <c r="Q139">
        <f t="shared" ref="Q139" si="275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12</v>
      </c>
      <c r="R139">
        <f t="shared" ref="R139" si="276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9</v>
      </c>
      <c r="S139">
        <f t="shared" ref="S139" si="277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12</v>
      </c>
    </row>
    <row r="140" spans="1:19" hidden="1" x14ac:dyDescent="0.25">
      <c r="A140">
        <v>4</v>
      </c>
      <c r="B140">
        <v>5</v>
      </c>
      <c r="C140">
        <v>0</v>
      </c>
      <c r="F140" s="5">
        <v>44699</v>
      </c>
      <c r="G140" s="1">
        <v>0.41065972222222219</v>
      </c>
    </row>
    <row r="141" spans="1:19" x14ac:dyDescent="0.25">
      <c r="A141">
        <v>10</v>
      </c>
      <c r="B141">
        <v>5</v>
      </c>
      <c r="C141">
        <v>0</v>
      </c>
      <c r="D141">
        <v>1</v>
      </c>
      <c r="F141" s="5">
        <v>44699</v>
      </c>
      <c r="G141" s="7">
        <v>0.41087962962962959</v>
      </c>
      <c r="H141" t="s">
        <v>9</v>
      </c>
      <c r="I141" t="s">
        <v>10</v>
      </c>
      <c r="L141" t="str">
        <f>IF(C141=0,H141,IF(C141=1,I141,IF(C141=2,J141,IF(C141=3,K141))))</f>
        <v>green_pen.jpg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8</v>
      </c>
      <c r="P141">
        <f t="shared" ref="P141" si="278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7</v>
      </c>
      <c r="Q141">
        <f t="shared" ref="Q141" si="279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0</v>
      </c>
      <c r="R141">
        <f t="shared" ref="R141" si="280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81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8</v>
      </c>
    </row>
    <row r="142" spans="1:19" hidden="1" x14ac:dyDescent="0.25">
      <c r="A142">
        <v>16</v>
      </c>
      <c r="B142">
        <v>5</v>
      </c>
      <c r="C142">
        <v>0</v>
      </c>
      <c r="F142" s="5">
        <v>44699</v>
      </c>
      <c r="G142" s="1">
        <v>0.41099537037037037</v>
      </c>
    </row>
    <row r="143" spans="1:19" x14ac:dyDescent="0.25">
      <c r="A143">
        <v>18</v>
      </c>
      <c r="B143">
        <v>5</v>
      </c>
      <c r="C143">
        <v>0</v>
      </c>
      <c r="D143">
        <v>2</v>
      </c>
      <c r="F143" s="5">
        <v>44699</v>
      </c>
      <c r="G143" s="7">
        <v>0.41107638888888887</v>
      </c>
      <c r="H143" t="s">
        <v>10</v>
      </c>
      <c r="I143" t="s">
        <v>13</v>
      </c>
      <c r="J143" t="s">
        <v>11</v>
      </c>
      <c r="L143" t="str">
        <f>IF(C143=0,H143,IF(C143=1,I143,IF(C143=2,J143,IF(C143=3,K143))))</f>
        <v>blue_pen.jpg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7</v>
      </c>
      <c r="P143">
        <f t="shared" ref="P143" si="282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5</v>
      </c>
      <c r="Q143">
        <f t="shared" ref="Q143" si="283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6</v>
      </c>
      <c r="R143">
        <f t="shared" ref="R143" si="284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5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7</v>
      </c>
    </row>
    <row r="144" spans="1:19" hidden="1" x14ac:dyDescent="0.25">
      <c r="A144">
        <v>27</v>
      </c>
      <c r="B144">
        <v>5</v>
      </c>
      <c r="C144">
        <v>0</v>
      </c>
      <c r="F144" s="5">
        <v>44699</v>
      </c>
      <c r="G144" s="1">
        <v>0.4111805555555556</v>
      </c>
    </row>
    <row r="145" spans="1:19" x14ac:dyDescent="0.25">
      <c r="A145">
        <v>30</v>
      </c>
      <c r="B145">
        <v>5</v>
      </c>
      <c r="C145">
        <v>0</v>
      </c>
      <c r="D145">
        <v>0</v>
      </c>
      <c r="F145" s="5">
        <v>44699</v>
      </c>
      <c r="G145" s="7">
        <v>0.41122685185185182</v>
      </c>
      <c r="H145" t="s">
        <v>13</v>
      </c>
      <c r="I145" t="s">
        <v>9</v>
      </c>
      <c r="J145" t="s">
        <v>10</v>
      </c>
      <c r="L145" t="str">
        <f>IF(C145=0,H145,IF(C145=1,I145,IF(C145=2,J145,IF(C145=3,K145))))</f>
        <v>yellow_pen.jpg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5</v>
      </c>
      <c r="P145">
        <f t="shared" ref="P145" si="286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8</v>
      </c>
      <c r="Q145">
        <f t="shared" ref="Q145" si="287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7</v>
      </c>
      <c r="R145">
        <f t="shared" ref="R145" si="288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9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5</v>
      </c>
    </row>
    <row r="146" spans="1:19" hidden="1" x14ac:dyDescent="0.25">
      <c r="A146">
        <v>39</v>
      </c>
      <c r="B146">
        <v>5</v>
      </c>
      <c r="C146">
        <v>0</v>
      </c>
      <c r="F146" s="5">
        <v>44699</v>
      </c>
      <c r="G146" s="1">
        <v>0.41134259259259259</v>
      </c>
    </row>
    <row r="147" spans="1:19" x14ac:dyDescent="0.25">
      <c r="A147">
        <v>43</v>
      </c>
      <c r="B147">
        <v>5</v>
      </c>
      <c r="C147">
        <v>0</v>
      </c>
      <c r="D147">
        <v>1</v>
      </c>
      <c r="F147" s="5">
        <v>44699</v>
      </c>
      <c r="G147" s="7">
        <v>0.41136574074074073</v>
      </c>
      <c r="H147" t="s">
        <v>10</v>
      </c>
      <c r="I147" t="s">
        <v>11</v>
      </c>
      <c r="L147" t="str">
        <f>IF(C147=0,H147,IF(C147=1,I147,IF(C147=2,J147,IF(C147=3,K147))))</f>
        <v>blue_pen.jpg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7</v>
      </c>
      <c r="P147">
        <f t="shared" ref="P147" si="290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6</v>
      </c>
      <c r="Q147">
        <f t="shared" ref="Q147" si="291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0</v>
      </c>
      <c r="R147">
        <f t="shared" ref="R147" si="292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93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7</v>
      </c>
    </row>
    <row r="148" spans="1:19" hidden="1" x14ac:dyDescent="0.25">
      <c r="A148">
        <v>50</v>
      </c>
      <c r="B148">
        <v>5</v>
      </c>
      <c r="C148">
        <v>0</v>
      </c>
      <c r="F148" s="5">
        <v>44699</v>
      </c>
      <c r="G148" s="1">
        <v>0.41150462962962964</v>
      </c>
    </row>
    <row r="149" spans="1:19" x14ac:dyDescent="0.25">
      <c r="A149">
        <v>54</v>
      </c>
      <c r="B149">
        <v>5</v>
      </c>
      <c r="C149">
        <v>0</v>
      </c>
      <c r="D149">
        <v>2</v>
      </c>
      <c r="F149" s="5">
        <v>44699</v>
      </c>
      <c r="G149" s="7">
        <v>0.41158564814814813</v>
      </c>
      <c r="H149" t="s">
        <v>13</v>
      </c>
      <c r="I149" t="s">
        <v>10</v>
      </c>
      <c r="J149" t="s">
        <v>9</v>
      </c>
      <c r="K149" t="s">
        <v>11</v>
      </c>
      <c r="L149" t="str">
        <f t="shared" ref="L149" si="294">IF(C149=0,H149,IF(C149=1,I149,IF(C149=2,J149,IF(C149=3,K149))))</f>
        <v>yellow_pen.jpg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5</v>
      </c>
      <c r="P149">
        <f t="shared" ref="P149" si="295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7</v>
      </c>
      <c r="Q149">
        <f t="shared" ref="Q149" si="296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8</v>
      </c>
      <c r="R149">
        <f t="shared" ref="R149" si="297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6</v>
      </c>
      <c r="S149">
        <f t="shared" ref="S149" si="298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5</v>
      </c>
    </row>
    <row r="150" spans="1:19" hidden="1" x14ac:dyDescent="0.25">
      <c r="A150">
        <v>68</v>
      </c>
      <c r="B150">
        <v>5</v>
      </c>
      <c r="C150">
        <v>0</v>
      </c>
      <c r="F150" s="5">
        <v>44699</v>
      </c>
      <c r="G150" s="1">
        <v>0.41174768518518517</v>
      </c>
    </row>
    <row r="151" spans="1:19" x14ac:dyDescent="0.25">
      <c r="A151">
        <v>72</v>
      </c>
      <c r="B151">
        <v>5</v>
      </c>
      <c r="C151">
        <v>0</v>
      </c>
      <c r="D151">
        <v>2</v>
      </c>
      <c r="F151" s="5">
        <v>44699</v>
      </c>
      <c r="G151" s="7">
        <v>0.4117824074074074</v>
      </c>
      <c r="H151" t="s">
        <v>13</v>
      </c>
      <c r="I151" t="s">
        <v>9</v>
      </c>
      <c r="J151" t="s">
        <v>11</v>
      </c>
      <c r="L151" t="str">
        <f>IF(C151=0,H151,IF(C151=1,I151,IF(C151=2,J151,IF(C151=3,K151))))</f>
        <v>yellow_pen.jpg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5</v>
      </c>
      <c r="P151">
        <f t="shared" ref="P151" si="299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8</v>
      </c>
      <c r="Q151">
        <f t="shared" ref="Q151" si="300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6</v>
      </c>
      <c r="R151">
        <f t="shared" ref="R151" si="301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302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5</v>
      </c>
    </row>
    <row r="152" spans="1:19" hidden="1" x14ac:dyDescent="0.25">
      <c r="A152">
        <v>81</v>
      </c>
      <c r="B152">
        <v>5</v>
      </c>
      <c r="C152">
        <v>0</v>
      </c>
      <c r="F152" s="5">
        <v>44699</v>
      </c>
      <c r="G152" s="1">
        <v>0.41189814814814812</v>
      </c>
    </row>
    <row r="153" spans="1:19" x14ac:dyDescent="0.25">
      <c r="A153">
        <v>91</v>
      </c>
      <c r="B153">
        <v>5</v>
      </c>
      <c r="C153">
        <v>0</v>
      </c>
      <c r="D153">
        <v>0</v>
      </c>
      <c r="F153" s="5">
        <v>44699</v>
      </c>
      <c r="G153" s="7">
        <v>0.41202546296296294</v>
      </c>
      <c r="H153" t="s">
        <v>9</v>
      </c>
      <c r="I153" t="s">
        <v>13</v>
      </c>
      <c r="L153" t="str">
        <f>IF(C153=0,H153,IF(C153=1,I153,IF(C153=2,J153,IF(C153=3,K153))))</f>
        <v>green_pen.jpg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8</v>
      </c>
      <c r="P153">
        <f t="shared" ref="P153" si="303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5</v>
      </c>
      <c r="Q153">
        <f t="shared" ref="Q153" si="304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0</v>
      </c>
      <c r="R153">
        <f t="shared" ref="R153" si="305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6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8</v>
      </c>
    </row>
    <row r="154" spans="1:19" hidden="1" x14ac:dyDescent="0.25">
      <c r="A154">
        <v>99</v>
      </c>
      <c r="B154">
        <v>5</v>
      </c>
      <c r="C154">
        <v>0</v>
      </c>
      <c r="F154" s="5">
        <v>44699</v>
      </c>
      <c r="G154" s="1">
        <v>0.41212962962962968</v>
      </c>
    </row>
    <row r="155" spans="1:19" x14ac:dyDescent="0.25">
      <c r="A155">
        <v>103</v>
      </c>
      <c r="B155">
        <v>5</v>
      </c>
      <c r="C155">
        <v>0</v>
      </c>
      <c r="D155">
        <v>1</v>
      </c>
      <c r="F155" s="5">
        <v>44699</v>
      </c>
      <c r="G155" s="7">
        <v>0.41216435185185185</v>
      </c>
      <c r="H155" t="s">
        <v>13</v>
      </c>
      <c r="I155" t="s">
        <v>10</v>
      </c>
      <c r="L155" t="str">
        <f>IF(C155=0,H155,IF(C155=1,I155,IF(C155=2,J155,IF(C155=3,K155))))</f>
        <v>yellow_pen.jpg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5</v>
      </c>
      <c r="P155">
        <f t="shared" ref="P155" si="307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7</v>
      </c>
      <c r="Q155">
        <f t="shared" ref="Q155" si="308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9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10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5</v>
      </c>
    </row>
    <row r="156" spans="1:19" hidden="1" x14ac:dyDescent="0.25">
      <c r="A156">
        <v>112</v>
      </c>
      <c r="B156">
        <v>5</v>
      </c>
      <c r="C156">
        <v>0</v>
      </c>
      <c r="F156" s="5">
        <v>44699</v>
      </c>
      <c r="G156" s="1">
        <v>0.41226851851851848</v>
      </c>
    </row>
    <row r="157" spans="1:19" x14ac:dyDescent="0.25">
      <c r="A157">
        <v>117</v>
      </c>
      <c r="B157">
        <v>5</v>
      </c>
      <c r="C157">
        <v>0</v>
      </c>
      <c r="D157">
        <v>0</v>
      </c>
      <c r="F157" s="5">
        <v>44699</v>
      </c>
      <c r="G157" s="7">
        <v>0.4123263888888889</v>
      </c>
      <c r="H157" t="s">
        <v>9</v>
      </c>
      <c r="I157" t="s">
        <v>11</v>
      </c>
      <c r="L157" t="str">
        <f>IF(C157=0,H157,IF(C157=1,I157,IF(C157=2,J157,IF(C157=3,K157))))</f>
        <v>green_pen.jpg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8</v>
      </c>
      <c r="P157">
        <f t="shared" ref="P157" si="311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6</v>
      </c>
      <c r="Q157">
        <f t="shared" ref="Q157" si="312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0</v>
      </c>
      <c r="R157">
        <f t="shared" ref="R157" si="313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14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8</v>
      </c>
    </row>
    <row r="158" spans="1:19" hidden="1" x14ac:dyDescent="0.25">
      <c r="A158">
        <v>127</v>
      </c>
      <c r="B158">
        <v>5</v>
      </c>
      <c r="C158">
        <v>0</v>
      </c>
      <c r="F158" s="5">
        <v>44699</v>
      </c>
      <c r="G158" s="1">
        <v>0.41243055555555558</v>
      </c>
    </row>
    <row r="159" spans="1:19" x14ac:dyDescent="0.25">
      <c r="A159">
        <v>128</v>
      </c>
      <c r="B159">
        <v>5</v>
      </c>
      <c r="C159">
        <v>0</v>
      </c>
      <c r="D159">
        <v>1</v>
      </c>
      <c r="F159" s="5">
        <v>44699</v>
      </c>
      <c r="G159" s="7">
        <v>0.41245370370370371</v>
      </c>
      <c r="H159" t="s">
        <v>11</v>
      </c>
      <c r="I159" t="s">
        <v>13</v>
      </c>
      <c r="L159" t="str">
        <f>IF(C159=0,H159,IF(C159=1,I159,IF(C159=2,J159,IF(C159=3,K159))))</f>
        <v>red_pen.jpg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6</v>
      </c>
      <c r="P159">
        <f t="shared" ref="P159" si="315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5</v>
      </c>
      <c r="Q159">
        <f t="shared" ref="Q159" si="316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0</v>
      </c>
      <c r="R159">
        <f t="shared" ref="R159" si="317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8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6</v>
      </c>
    </row>
    <row r="160" spans="1:19" hidden="1" x14ac:dyDescent="0.25">
      <c r="A160">
        <v>139</v>
      </c>
      <c r="B160">
        <v>5</v>
      </c>
      <c r="C160">
        <v>0</v>
      </c>
      <c r="F160" s="5">
        <v>44699</v>
      </c>
      <c r="G160" s="1">
        <v>0.41256944444444449</v>
      </c>
    </row>
    <row r="161" spans="1:19" x14ac:dyDescent="0.25">
      <c r="A161">
        <v>145</v>
      </c>
      <c r="B161">
        <v>5</v>
      </c>
      <c r="C161">
        <v>0</v>
      </c>
      <c r="D161">
        <v>2</v>
      </c>
      <c r="F161" s="5">
        <v>44699</v>
      </c>
      <c r="G161" s="7">
        <v>0.41260416666666666</v>
      </c>
      <c r="H161" t="s">
        <v>10</v>
      </c>
      <c r="I161" t="s">
        <v>9</v>
      </c>
      <c r="J161" t="s">
        <v>11</v>
      </c>
      <c r="L161" t="str">
        <f>IF(C161=0,H161,IF(C161=1,I161,IF(C161=2,J161,IF(C161=3,K161))))</f>
        <v>blue_pen.jpg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7</v>
      </c>
      <c r="P161">
        <f t="shared" ref="P161" si="319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8</v>
      </c>
      <c r="Q161">
        <f t="shared" ref="Q161" si="320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6</v>
      </c>
      <c r="R161">
        <f t="shared" ref="R161" si="321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22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7</v>
      </c>
    </row>
    <row r="162" spans="1:19" hidden="1" x14ac:dyDescent="0.25">
      <c r="A162">
        <v>158</v>
      </c>
      <c r="B162">
        <v>5</v>
      </c>
      <c r="C162">
        <v>1</v>
      </c>
      <c r="F162" s="5">
        <v>44699</v>
      </c>
      <c r="G162" s="1">
        <v>0.41275462962962961</v>
      </c>
    </row>
    <row r="163" spans="1:19" x14ac:dyDescent="0.25">
      <c r="A163">
        <v>164</v>
      </c>
      <c r="B163">
        <v>5</v>
      </c>
      <c r="C163">
        <v>1</v>
      </c>
      <c r="D163">
        <v>0</v>
      </c>
      <c r="F163" s="5">
        <v>44699</v>
      </c>
      <c r="G163" s="7">
        <v>0.41283564814814816</v>
      </c>
      <c r="H163" t="s">
        <v>17</v>
      </c>
      <c r="I163" t="s">
        <v>14</v>
      </c>
      <c r="J163" t="s">
        <v>15</v>
      </c>
      <c r="L163" t="str">
        <f>IF(C163=0,H163,IF(C163=1,I163,IF(C163=2,J163,IF(C163=3,K163))))</f>
        <v>blue_pencil.jpg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1</v>
      </c>
      <c r="P163">
        <f t="shared" ref="P163" si="323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4</v>
      </c>
      <c r="Q163">
        <f t="shared" ref="Q163" si="324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3</v>
      </c>
      <c r="R163">
        <f t="shared" ref="R163" si="325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6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4</v>
      </c>
    </row>
    <row r="164" spans="1:19" hidden="1" x14ac:dyDescent="0.25">
      <c r="A164">
        <v>176</v>
      </c>
      <c r="B164">
        <v>5</v>
      </c>
      <c r="C164">
        <v>1</v>
      </c>
      <c r="F164" s="5">
        <v>44699</v>
      </c>
      <c r="G164" s="1">
        <v>0.41296296296296298</v>
      </c>
    </row>
    <row r="165" spans="1:19" x14ac:dyDescent="0.25">
      <c r="A165">
        <v>182</v>
      </c>
      <c r="B165">
        <v>5</v>
      </c>
      <c r="C165">
        <v>1</v>
      </c>
      <c r="D165">
        <v>0</v>
      </c>
      <c r="F165" s="5">
        <v>44699</v>
      </c>
      <c r="G165" s="7">
        <v>0.4130092592592593</v>
      </c>
      <c r="H165" t="s">
        <v>14</v>
      </c>
      <c r="I165" t="s">
        <v>17</v>
      </c>
      <c r="L165" t="str">
        <f>IF(C165=0,H165,IF(C165=1,I165,IF(C165=2,J165,IF(C165=3,K165))))</f>
        <v>yellow_pencil.jpg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4</v>
      </c>
      <c r="P165">
        <f t="shared" ref="P165" si="327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1</v>
      </c>
      <c r="Q165">
        <f t="shared" ref="Q165" si="328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0</v>
      </c>
      <c r="R165">
        <f t="shared" ref="R165" si="329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30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1</v>
      </c>
    </row>
    <row r="166" spans="1:19" hidden="1" x14ac:dyDescent="0.25">
      <c r="A166">
        <v>190</v>
      </c>
      <c r="B166">
        <v>5</v>
      </c>
      <c r="C166">
        <v>1</v>
      </c>
      <c r="F166" s="5">
        <v>44699</v>
      </c>
      <c r="G166" s="1">
        <v>0.41311342592592593</v>
      </c>
    </row>
    <row r="167" spans="1:19" x14ac:dyDescent="0.25">
      <c r="A167">
        <v>193</v>
      </c>
      <c r="B167">
        <v>5</v>
      </c>
      <c r="C167">
        <v>1</v>
      </c>
      <c r="D167">
        <v>0</v>
      </c>
      <c r="F167" s="5">
        <v>44699</v>
      </c>
      <c r="G167" s="7">
        <v>0.4131481481481481</v>
      </c>
      <c r="H167" t="s">
        <v>15</v>
      </c>
      <c r="I167" t="s">
        <v>17</v>
      </c>
      <c r="L167" t="str">
        <f>IF(C167=0,H167,IF(C167=1,I167,IF(C167=2,J167,IF(C167=3,K167))))</f>
        <v>yellow_pencil.jpg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3</v>
      </c>
      <c r="P167">
        <f t="shared" ref="P167" si="331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1</v>
      </c>
      <c r="Q167">
        <f t="shared" ref="Q167" si="332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0</v>
      </c>
      <c r="R167">
        <f t="shared" ref="R167" si="333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34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1</v>
      </c>
    </row>
    <row r="168" spans="1:19" hidden="1" x14ac:dyDescent="0.25">
      <c r="A168">
        <v>208</v>
      </c>
      <c r="B168">
        <v>5</v>
      </c>
      <c r="C168">
        <v>1</v>
      </c>
      <c r="F168" s="5">
        <v>44699</v>
      </c>
      <c r="G168" s="1">
        <v>0.41329861111111116</v>
      </c>
    </row>
    <row r="169" spans="1:19" x14ac:dyDescent="0.25">
      <c r="A169">
        <v>213</v>
      </c>
      <c r="B169">
        <v>5</v>
      </c>
      <c r="C169">
        <v>1</v>
      </c>
      <c r="D169">
        <v>0</v>
      </c>
      <c r="F169" s="5">
        <v>44699</v>
      </c>
      <c r="G169" s="7">
        <v>0.41333333333333333</v>
      </c>
      <c r="H169" t="s">
        <v>16</v>
      </c>
      <c r="I169" t="s">
        <v>17</v>
      </c>
      <c r="L169" t="str">
        <f>IF(C169=0,H169,IF(C169=1,I169,IF(C169=2,J169,IF(C169=3,K169))))</f>
        <v>yellow_pencil.jpg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2</v>
      </c>
      <c r="P169">
        <f t="shared" ref="P169" si="335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1</v>
      </c>
      <c r="Q169">
        <f t="shared" ref="Q169" si="336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0</v>
      </c>
      <c r="R169">
        <f t="shared" ref="R169" si="337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8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1</v>
      </c>
    </row>
    <row r="170" spans="1:19" hidden="1" x14ac:dyDescent="0.25">
      <c r="A170">
        <v>223</v>
      </c>
      <c r="B170">
        <v>5</v>
      </c>
      <c r="C170">
        <v>1</v>
      </c>
      <c r="F170" s="5">
        <v>44699</v>
      </c>
      <c r="G170" s="1">
        <v>0.41343749999999996</v>
      </c>
    </row>
    <row r="171" spans="1:19" x14ac:dyDescent="0.25">
      <c r="A171">
        <v>228</v>
      </c>
      <c r="B171">
        <v>5</v>
      </c>
      <c r="C171">
        <v>1</v>
      </c>
      <c r="D171">
        <v>0</v>
      </c>
      <c r="F171" s="5">
        <v>44699</v>
      </c>
      <c r="G171" s="7">
        <v>0.41349537037037037</v>
      </c>
      <c r="H171" t="s">
        <v>16</v>
      </c>
      <c r="I171" t="s">
        <v>17</v>
      </c>
      <c r="J171" t="s">
        <v>15</v>
      </c>
      <c r="L171" t="str">
        <f>IF(C171=0,H171,IF(C171=1,I171,IF(C171=2,J171,IF(C171=3,K171))))</f>
        <v>yellow_pencil.jpg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2</v>
      </c>
      <c r="P171">
        <f t="shared" ref="P171" si="339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1</v>
      </c>
      <c r="Q171">
        <f t="shared" ref="Q171" si="340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3</v>
      </c>
      <c r="R171">
        <f t="shared" ref="R171" si="341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42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1</v>
      </c>
    </row>
    <row r="172" spans="1:19" hidden="1" x14ac:dyDescent="0.25">
      <c r="A172">
        <v>239</v>
      </c>
      <c r="B172">
        <v>5</v>
      </c>
      <c r="C172">
        <v>1</v>
      </c>
      <c r="F172" s="5">
        <v>44699</v>
      </c>
      <c r="G172" s="1">
        <v>0.41364583333333332</v>
      </c>
    </row>
    <row r="173" spans="1:19" x14ac:dyDescent="0.25">
      <c r="A173">
        <v>243</v>
      </c>
      <c r="B173">
        <v>5</v>
      </c>
      <c r="C173">
        <v>1</v>
      </c>
      <c r="D173">
        <v>0</v>
      </c>
      <c r="F173" s="5">
        <v>44699</v>
      </c>
      <c r="G173" s="7">
        <v>0.41366898148148151</v>
      </c>
      <c r="H173" t="s">
        <v>16</v>
      </c>
      <c r="I173" t="s">
        <v>14</v>
      </c>
      <c r="L173" t="str">
        <f>IF(C173=0,H173,IF(C173=1,I173,IF(C173=2,J173,IF(C173=3,K173))))</f>
        <v>blue_pencil.jpg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2</v>
      </c>
      <c r="P173">
        <f t="shared" ref="P173" si="343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4</v>
      </c>
      <c r="Q173">
        <f t="shared" ref="Q173" si="344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0</v>
      </c>
      <c r="R173">
        <f t="shared" ref="R173" si="345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6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4</v>
      </c>
    </row>
    <row r="174" spans="1:19" hidden="1" x14ac:dyDescent="0.25">
      <c r="A174">
        <v>252</v>
      </c>
      <c r="B174">
        <v>5</v>
      </c>
      <c r="C174">
        <v>1</v>
      </c>
      <c r="F174" s="5">
        <v>44699</v>
      </c>
      <c r="G174" s="1">
        <v>0.41381944444444446</v>
      </c>
    </row>
    <row r="175" spans="1:19" x14ac:dyDescent="0.25">
      <c r="A175">
        <v>259</v>
      </c>
      <c r="B175">
        <v>5</v>
      </c>
      <c r="C175">
        <v>1</v>
      </c>
      <c r="D175">
        <v>0</v>
      </c>
      <c r="F175" s="5">
        <v>44699</v>
      </c>
      <c r="G175" s="7">
        <v>0.41385416666666663</v>
      </c>
      <c r="H175" t="s">
        <v>16</v>
      </c>
      <c r="I175" t="s">
        <v>15</v>
      </c>
      <c r="L175" t="str">
        <f>IF(C175=0,H175,IF(C175=1,I175,IF(C175=2,J175,IF(C175=3,K175))))</f>
        <v>orange_pencil.jpg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2</v>
      </c>
      <c r="P175">
        <f t="shared" ref="P175" si="347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3</v>
      </c>
      <c r="Q175">
        <f t="shared" ref="Q175" si="348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0</v>
      </c>
      <c r="R175">
        <f t="shared" ref="R175" si="349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50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3</v>
      </c>
    </row>
    <row r="176" spans="1:19" hidden="1" x14ac:dyDescent="0.25">
      <c r="A176">
        <v>269</v>
      </c>
      <c r="B176">
        <v>5</v>
      </c>
      <c r="C176">
        <v>1</v>
      </c>
      <c r="F176" s="5">
        <v>44699</v>
      </c>
      <c r="G176" s="1">
        <v>0.41398148148148151</v>
      </c>
    </row>
    <row r="177" spans="1:19" x14ac:dyDescent="0.25">
      <c r="A177">
        <v>277</v>
      </c>
      <c r="B177">
        <v>5</v>
      </c>
      <c r="C177">
        <v>1</v>
      </c>
      <c r="D177">
        <v>0</v>
      </c>
      <c r="F177" s="5">
        <v>44699</v>
      </c>
      <c r="G177" s="7">
        <v>0.41403935185185187</v>
      </c>
      <c r="H177" t="s">
        <v>15</v>
      </c>
      <c r="I177" t="s">
        <v>14</v>
      </c>
      <c r="L177" t="str">
        <f>IF(C177=0,H177,IF(C177=1,I177,IF(C177=2,J177,IF(C177=3,K177))))</f>
        <v>blue_pencil.jpg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3</v>
      </c>
      <c r="P177">
        <f t="shared" ref="P177" si="351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4</v>
      </c>
      <c r="Q177">
        <f t="shared" ref="Q177" si="352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0</v>
      </c>
      <c r="R177">
        <f t="shared" ref="R177" si="353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54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4</v>
      </c>
    </row>
    <row r="178" spans="1:19" hidden="1" x14ac:dyDescent="0.25">
      <c r="A178">
        <v>285</v>
      </c>
      <c r="B178">
        <v>5</v>
      </c>
      <c r="C178">
        <v>1</v>
      </c>
      <c r="F178" s="5">
        <v>44699</v>
      </c>
      <c r="G178" s="1">
        <v>0.41416666666666663</v>
      </c>
    </row>
    <row r="179" spans="1:19" x14ac:dyDescent="0.25">
      <c r="A179">
        <v>291</v>
      </c>
      <c r="B179">
        <v>5</v>
      </c>
      <c r="C179">
        <v>1</v>
      </c>
      <c r="D179">
        <v>1</v>
      </c>
      <c r="F179" s="5">
        <v>44699</v>
      </c>
      <c r="G179" s="7">
        <v>0.41421296296296295</v>
      </c>
      <c r="H179" t="s">
        <v>14</v>
      </c>
      <c r="I179" t="s">
        <v>16</v>
      </c>
      <c r="J179" t="s">
        <v>17</v>
      </c>
      <c r="L179" t="str">
        <f>IF(C179=0,H179,IF(C179=1,I179,IF(C179=2,J179,IF(C179=3,K179))))</f>
        <v>red_pencil.jpg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4</v>
      </c>
      <c r="P179">
        <f t="shared" ref="P179" si="355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2</v>
      </c>
      <c r="Q179">
        <f t="shared" ref="Q179" si="356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1</v>
      </c>
      <c r="R179">
        <f t="shared" ref="R179" si="357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8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2</v>
      </c>
    </row>
    <row r="180" spans="1:19" hidden="1" x14ac:dyDescent="0.25">
      <c r="A180">
        <v>301</v>
      </c>
      <c r="B180">
        <v>5</v>
      </c>
      <c r="C180">
        <v>1</v>
      </c>
      <c r="F180" s="5">
        <v>44699</v>
      </c>
      <c r="G180" s="1">
        <v>0.4143634259259259</v>
      </c>
    </row>
    <row r="181" spans="1:19" x14ac:dyDescent="0.25">
      <c r="A181">
        <v>308</v>
      </c>
      <c r="B181">
        <v>5</v>
      </c>
      <c r="C181">
        <v>1</v>
      </c>
      <c r="D181">
        <v>0</v>
      </c>
      <c r="F181" s="5">
        <v>44699</v>
      </c>
      <c r="G181" s="7">
        <v>0.41439814814814818</v>
      </c>
      <c r="H181" t="s">
        <v>16</v>
      </c>
      <c r="I181" t="s">
        <v>15</v>
      </c>
      <c r="J181" t="s">
        <v>14</v>
      </c>
      <c r="L181" t="str">
        <f>IF(C181=0,H181,IF(C181=1,I181,IF(C181=2,J181,IF(C181=3,K181))))</f>
        <v>orange_pencil.jpg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2</v>
      </c>
      <c r="P181">
        <f t="shared" ref="P181" si="359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3</v>
      </c>
      <c r="Q181">
        <f t="shared" ref="Q181" si="360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4</v>
      </c>
      <c r="R181">
        <f t="shared" ref="R181" si="361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62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3</v>
      </c>
    </row>
    <row r="182" spans="1:19" hidden="1" x14ac:dyDescent="0.25">
      <c r="A182">
        <v>316</v>
      </c>
      <c r="B182">
        <v>5</v>
      </c>
      <c r="C182">
        <v>1</v>
      </c>
      <c r="F182" s="5">
        <v>44699</v>
      </c>
      <c r="G182" s="1">
        <v>0.41452546296296294</v>
      </c>
    </row>
    <row r="183" spans="1:19" x14ac:dyDescent="0.25">
      <c r="A183">
        <v>323</v>
      </c>
      <c r="B183">
        <v>5</v>
      </c>
      <c r="C183">
        <v>1</v>
      </c>
      <c r="D183">
        <v>0</v>
      </c>
      <c r="F183" s="5">
        <v>44699</v>
      </c>
      <c r="G183" s="7">
        <v>0.41457175925925926</v>
      </c>
      <c r="H183" t="s">
        <v>16</v>
      </c>
      <c r="I183" t="s">
        <v>14</v>
      </c>
      <c r="J183" t="s">
        <v>17</v>
      </c>
      <c r="K183" t="s">
        <v>15</v>
      </c>
      <c r="L183" t="str">
        <f>IF(C183=0,H183,IF(C183=1,I183,IF(C183=2,J183,IF(C183=3,K183))))</f>
        <v>blue_pencil.jpg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2</v>
      </c>
      <c r="P183">
        <f t="shared" ref="P183" si="363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4</v>
      </c>
      <c r="Q183">
        <f t="shared" ref="Q183" si="364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1</v>
      </c>
      <c r="R183">
        <f t="shared" ref="R183" si="365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3</v>
      </c>
      <c r="S183">
        <f t="shared" ref="S183" si="366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4</v>
      </c>
    </row>
    <row r="184" spans="1:19" hidden="1" x14ac:dyDescent="0.25">
      <c r="A184">
        <v>334</v>
      </c>
      <c r="B184">
        <v>5</v>
      </c>
      <c r="C184">
        <v>2</v>
      </c>
      <c r="F184" s="5">
        <v>44699</v>
      </c>
      <c r="G184" s="1">
        <v>0.41472222222222221</v>
      </c>
    </row>
    <row r="185" spans="1:19" x14ac:dyDescent="0.25">
      <c r="A185">
        <v>338</v>
      </c>
      <c r="B185">
        <v>5</v>
      </c>
      <c r="C185">
        <v>2</v>
      </c>
      <c r="D185">
        <v>3</v>
      </c>
      <c r="F185" s="5">
        <v>44699</v>
      </c>
      <c r="G185" s="7">
        <v>0.4147569444444445</v>
      </c>
      <c r="H185" t="s">
        <v>18</v>
      </c>
      <c r="I185" t="s">
        <v>20</v>
      </c>
      <c r="J185" t="s">
        <v>21</v>
      </c>
      <c r="K185" t="s">
        <v>19</v>
      </c>
      <c r="L185" t="str">
        <f>IF(C185=0,H185,IF(C185=1,I185,IF(C185=2,J185,IF(C185=3,K185))))</f>
        <v>pen1.jpg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12</v>
      </c>
      <c r="P185">
        <f t="shared" ref="P185" si="367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11</v>
      </c>
      <c r="Q185">
        <f t="shared" ref="Q185" si="368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9</v>
      </c>
      <c r="R185">
        <f t="shared" ref="R185" si="369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10</v>
      </c>
      <c r="S185">
        <f t="shared" ref="S185" si="370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9</v>
      </c>
    </row>
    <row r="186" spans="1:19" hidden="1" x14ac:dyDescent="0.25">
      <c r="A186">
        <v>5</v>
      </c>
      <c r="B186">
        <v>6</v>
      </c>
      <c r="C186">
        <v>0</v>
      </c>
      <c r="F186" s="5">
        <v>44699</v>
      </c>
      <c r="G186" s="1">
        <v>0.41065972222222219</v>
      </c>
    </row>
    <row r="187" spans="1:19" x14ac:dyDescent="0.25">
      <c r="A187">
        <v>9</v>
      </c>
      <c r="B187">
        <v>6</v>
      </c>
      <c r="C187">
        <v>0</v>
      </c>
      <c r="D187">
        <v>1</v>
      </c>
      <c r="F187" s="5">
        <v>44699</v>
      </c>
      <c r="G187" s="7">
        <v>0.41086805555555556</v>
      </c>
      <c r="H187" t="s">
        <v>17</v>
      </c>
      <c r="I187" t="s">
        <v>16</v>
      </c>
      <c r="L187" t="str">
        <f>IF(C187=0,H187,IF(C187=1,I187,IF(C187=2,J187,IF(C187=3,K187))))</f>
        <v>yellow_pencil.jpg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1</v>
      </c>
      <c r="P187">
        <f t="shared" ref="P187" si="371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2</v>
      </c>
      <c r="Q187">
        <f t="shared" ref="Q187" si="372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0</v>
      </c>
      <c r="R187">
        <f t="shared" ref="R187" si="373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74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1</v>
      </c>
    </row>
    <row r="188" spans="1:19" hidden="1" x14ac:dyDescent="0.25">
      <c r="A188">
        <v>15</v>
      </c>
      <c r="B188">
        <v>6</v>
      </c>
      <c r="C188">
        <v>0</v>
      </c>
      <c r="F188" s="5">
        <v>44699</v>
      </c>
      <c r="G188" s="1">
        <v>0.41098379629629633</v>
      </c>
    </row>
    <row r="189" spans="1:19" x14ac:dyDescent="0.25">
      <c r="A189">
        <v>23</v>
      </c>
      <c r="B189">
        <v>6</v>
      </c>
      <c r="C189">
        <v>0</v>
      </c>
      <c r="D189">
        <v>2</v>
      </c>
      <c r="F189" s="5">
        <v>44699</v>
      </c>
      <c r="G189" s="7">
        <v>0.41111111111111115</v>
      </c>
      <c r="H189" t="s">
        <v>17</v>
      </c>
      <c r="I189" t="s">
        <v>15</v>
      </c>
      <c r="J189" t="s">
        <v>16</v>
      </c>
      <c r="L189" t="str">
        <f>IF(C189=0,H189,IF(C189=1,I189,IF(C189=2,J189,IF(C189=3,K189))))</f>
        <v>yellow_pencil.jpg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1</v>
      </c>
      <c r="P189">
        <f t="shared" ref="P189" si="375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3</v>
      </c>
      <c r="Q189">
        <f t="shared" ref="Q189" si="376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2</v>
      </c>
      <c r="R189">
        <f t="shared" ref="R189" si="377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8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1</v>
      </c>
    </row>
    <row r="190" spans="1:19" hidden="1" x14ac:dyDescent="0.25">
      <c r="A190">
        <v>29</v>
      </c>
      <c r="B190">
        <v>6</v>
      </c>
      <c r="C190">
        <v>0</v>
      </c>
      <c r="F190" s="5">
        <v>44699</v>
      </c>
      <c r="G190" s="1">
        <v>0.41122685185185182</v>
      </c>
    </row>
    <row r="191" spans="1:19" x14ac:dyDescent="0.25">
      <c r="A191">
        <v>34</v>
      </c>
      <c r="B191">
        <v>6</v>
      </c>
      <c r="C191">
        <v>0</v>
      </c>
      <c r="D191">
        <v>1</v>
      </c>
      <c r="F191" s="5">
        <v>44699</v>
      </c>
      <c r="G191" s="7">
        <v>0.41127314814814814</v>
      </c>
      <c r="H191" t="s">
        <v>16</v>
      </c>
      <c r="I191" t="s">
        <v>14</v>
      </c>
      <c r="L191" t="str">
        <f>IF(C191=0,H191,IF(C191=1,I191,IF(C191=2,J191,IF(C191=3,K191))))</f>
        <v>red_pencil.jpg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2</v>
      </c>
      <c r="P191">
        <f t="shared" ref="P191" si="379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4</v>
      </c>
      <c r="Q191">
        <f t="shared" ref="Q191" si="380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0</v>
      </c>
      <c r="R191">
        <f t="shared" ref="R191" si="381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82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2</v>
      </c>
    </row>
    <row r="192" spans="1:19" hidden="1" x14ac:dyDescent="0.25">
      <c r="A192">
        <v>44</v>
      </c>
      <c r="B192">
        <v>6</v>
      </c>
      <c r="C192">
        <v>0</v>
      </c>
      <c r="F192" s="5">
        <v>44699</v>
      </c>
      <c r="G192" s="1">
        <v>0.41136574074074073</v>
      </c>
    </row>
    <row r="193" spans="1:19" x14ac:dyDescent="0.25">
      <c r="A193">
        <v>45</v>
      </c>
      <c r="B193">
        <v>6</v>
      </c>
      <c r="C193">
        <v>0</v>
      </c>
      <c r="D193">
        <v>1</v>
      </c>
      <c r="F193" s="5">
        <v>44699</v>
      </c>
      <c r="G193" s="7">
        <v>0.41141203703703705</v>
      </c>
      <c r="H193" t="s">
        <v>15</v>
      </c>
      <c r="I193" t="s">
        <v>14</v>
      </c>
      <c r="L193" t="str">
        <f>IF(C193=0,H193,IF(C193=1,I193,IF(C193=2,J193,IF(C193=3,K193))))</f>
        <v>orange_pencil.jpg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3</v>
      </c>
      <c r="P193">
        <f t="shared" ref="P193" si="383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4</v>
      </c>
      <c r="Q193">
        <f t="shared" ref="Q193" si="384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0</v>
      </c>
      <c r="R193">
        <f t="shared" ref="R193" si="385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6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3</v>
      </c>
    </row>
    <row r="194" spans="1:19" hidden="1" x14ac:dyDescent="0.25">
      <c r="A194">
        <v>52</v>
      </c>
      <c r="B194">
        <v>6</v>
      </c>
      <c r="C194">
        <v>0</v>
      </c>
      <c r="F194" s="5">
        <v>44699</v>
      </c>
      <c r="G194" s="1">
        <v>0.41153935185185181</v>
      </c>
    </row>
    <row r="195" spans="1:19" x14ac:dyDescent="0.25">
      <c r="A195">
        <v>56</v>
      </c>
      <c r="B195">
        <v>6</v>
      </c>
      <c r="C195">
        <v>0</v>
      </c>
      <c r="D195">
        <v>2</v>
      </c>
      <c r="F195" s="5">
        <v>44699</v>
      </c>
      <c r="G195" s="7">
        <v>0.41163194444444445</v>
      </c>
      <c r="H195" t="s">
        <v>14</v>
      </c>
      <c r="I195" t="s">
        <v>17</v>
      </c>
      <c r="J195" t="s">
        <v>16</v>
      </c>
      <c r="L195" t="str">
        <f>IF(C195=0,H195,IF(C195=1,I195,IF(C195=2,J195,IF(C195=3,K195))))</f>
        <v>blue_pencil.jpg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4</v>
      </c>
      <c r="P195">
        <f t="shared" ref="P195" si="387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1</v>
      </c>
      <c r="Q195">
        <f t="shared" ref="Q195" si="388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2</v>
      </c>
      <c r="R195">
        <f t="shared" ref="R195" si="389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90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4</v>
      </c>
    </row>
    <row r="196" spans="1:19" hidden="1" x14ac:dyDescent="0.25">
      <c r="A196">
        <v>67</v>
      </c>
      <c r="B196">
        <v>6</v>
      </c>
      <c r="C196">
        <v>0</v>
      </c>
      <c r="F196" s="5">
        <v>44699</v>
      </c>
      <c r="G196" s="1">
        <v>0.41174768518518517</v>
      </c>
    </row>
    <row r="197" spans="1:19" x14ac:dyDescent="0.25">
      <c r="A197">
        <v>73</v>
      </c>
      <c r="B197">
        <v>6</v>
      </c>
      <c r="C197">
        <v>0</v>
      </c>
      <c r="D197">
        <v>1</v>
      </c>
      <c r="F197" s="5">
        <v>44699</v>
      </c>
      <c r="G197" s="7">
        <v>0.41180555555555554</v>
      </c>
      <c r="H197" t="s">
        <v>15</v>
      </c>
      <c r="I197" t="s">
        <v>17</v>
      </c>
      <c r="L197" t="str">
        <f>IF(C197=0,H197,IF(C197=1,I197,IF(C197=2,J197,IF(C197=3,K197))))</f>
        <v>orange_pencil.jpg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3</v>
      </c>
      <c r="P197">
        <f t="shared" ref="P197" si="391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1</v>
      </c>
      <c r="Q197">
        <f t="shared" ref="Q197" si="392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0</v>
      </c>
      <c r="R197">
        <f t="shared" ref="R197" si="393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94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3</v>
      </c>
    </row>
    <row r="198" spans="1:19" hidden="1" x14ac:dyDescent="0.25">
      <c r="A198">
        <v>84</v>
      </c>
      <c r="B198">
        <v>6</v>
      </c>
      <c r="C198">
        <v>0</v>
      </c>
      <c r="F198" s="5">
        <v>44699</v>
      </c>
      <c r="G198" s="1">
        <v>0.41192129629629631</v>
      </c>
    </row>
    <row r="199" spans="1:19" x14ac:dyDescent="0.25">
      <c r="A199">
        <v>86</v>
      </c>
      <c r="B199">
        <v>6</v>
      </c>
      <c r="C199">
        <v>0</v>
      </c>
      <c r="D199">
        <v>0</v>
      </c>
      <c r="F199" s="5">
        <v>44699</v>
      </c>
      <c r="G199" s="7">
        <v>0.41196759259259258</v>
      </c>
      <c r="H199" t="s">
        <v>14</v>
      </c>
      <c r="I199" t="s">
        <v>17</v>
      </c>
      <c r="L199" t="str">
        <f>IF(C199=0,H199,IF(C199=1,I199,IF(C199=2,J199,IF(C199=3,K199))))</f>
        <v>blue_pencil.jpg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4</v>
      </c>
      <c r="P199">
        <f t="shared" ref="P199" si="395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1</v>
      </c>
      <c r="Q199">
        <f t="shared" ref="Q199" si="396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0</v>
      </c>
      <c r="R199">
        <f t="shared" ref="R199" si="397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8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4</v>
      </c>
    </row>
    <row r="200" spans="1:19" hidden="1" x14ac:dyDescent="0.25">
      <c r="A200">
        <v>96</v>
      </c>
      <c r="B200">
        <v>6</v>
      </c>
      <c r="C200">
        <v>0</v>
      </c>
      <c r="F200" s="5">
        <v>44699</v>
      </c>
      <c r="G200" s="1">
        <v>0.41207175925925926</v>
      </c>
    </row>
    <row r="201" spans="1:19" x14ac:dyDescent="0.25">
      <c r="A201">
        <v>98</v>
      </c>
      <c r="B201">
        <v>6</v>
      </c>
      <c r="C201">
        <v>0</v>
      </c>
      <c r="D201">
        <v>1</v>
      </c>
      <c r="F201" s="5">
        <v>44699</v>
      </c>
      <c r="G201" s="7">
        <v>0.41210648148148149</v>
      </c>
      <c r="H201" t="s">
        <v>15</v>
      </c>
      <c r="I201" t="s">
        <v>16</v>
      </c>
      <c r="L201" t="str">
        <f>IF(C201=0,H201,IF(C201=1,I201,IF(C201=2,J201,IF(C201=3,K201))))</f>
        <v>orange_pencil.jpg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3</v>
      </c>
      <c r="P201">
        <f t="shared" ref="P201" si="399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2</v>
      </c>
      <c r="Q201">
        <f t="shared" ref="Q201" si="400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0</v>
      </c>
      <c r="R201">
        <f t="shared" ref="R201" si="401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402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3</v>
      </c>
    </row>
    <row r="202" spans="1:19" hidden="1" x14ac:dyDescent="0.25">
      <c r="A202">
        <v>109</v>
      </c>
      <c r="B202">
        <v>6</v>
      </c>
      <c r="C202">
        <v>0</v>
      </c>
      <c r="F202" s="5">
        <v>44699</v>
      </c>
      <c r="G202" s="1">
        <v>0.41221064814814817</v>
      </c>
    </row>
    <row r="203" spans="1:19" x14ac:dyDescent="0.25">
      <c r="A203">
        <v>111</v>
      </c>
      <c r="B203">
        <v>6</v>
      </c>
      <c r="C203">
        <v>0</v>
      </c>
      <c r="D203">
        <v>0</v>
      </c>
      <c r="F203" s="5">
        <v>44699</v>
      </c>
      <c r="G203" s="7">
        <v>0.41225694444444444</v>
      </c>
      <c r="H203" t="s">
        <v>14</v>
      </c>
      <c r="I203" t="s">
        <v>15</v>
      </c>
      <c r="J203" t="s">
        <v>16</v>
      </c>
      <c r="L203" t="str">
        <f>IF(C203=0,H203,IF(C203=1,I203,IF(C203=2,J203,IF(C203=3,K203))))</f>
        <v>blue_pencil.jpg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4</v>
      </c>
      <c r="P203">
        <f t="shared" ref="P203" si="403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3</v>
      </c>
      <c r="Q203">
        <f t="shared" ref="Q203" si="404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2</v>
      </c>
      <c r="R203">
        <f t="shared" ref="R203" si="405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6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4</v>
      </c>
    </row>
    <row r="204" spans="1:19" hidden="1" x14ac:dyDescent="0.25">
      <c r="A204">
        <v>122</v>
      </c>
      <c r="B204">
        <v>6</v>
      </c>
      <c r="C204">
        <v>0</v>
      </c>
      <c r="F204" s="5">
        <v>44699</v>
      </c>
      <c r="G204" s="1">
        <v>0.41236111111111112</v>
      </c>
    </row>
    <row r="205" spans="1:19" x14ac:dyDescent="0.25">
      <c r="A205">
        <v>126</v>
      </c>
      <c r="B205">
        <v>6</v>
      </c>
      <c r="C205">
        <v>0</v>
      </c>
      <c r="D205">
        <v>2</v>
      </c>
      <c r="F205" s="5">
        <v>44699</v>
      </c>
      <c r="G205" s="7">
        <v>0.41243055555555558</v>
      </c>
      <c r="H205" t="s">
        <v>17</v>
      </c>
      <c r="I205" t="s">
        <v>15</v>
      </c>
      <c r="J205" t="s">
        <v>14</v>
      </c>
      <c r="L205" t="str">
        <f>IF(C205=0,H205,IF(C205=1,I205,IF(C205=2,J205,IF(C205=3,K205))))</f>
        <v>yellow_pencil.jpg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1</v>
      </c>
      <c r="P205">
        <f t="shared" ref="P205" si="407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3</v>
      </c>
      <c r="Q205">
        <f t="shared" ref="Q205" si="408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4</v>
      </c>
      <c r="R205">
        <f t="shared" ref="R205" si="409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10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1</v>
      </c>
    </row>
    <row r="206" spans="1:19" hidden="1" x14ac:dyDescent="0.25">
      <c r="A206">
        <v>137</v>
      </c>
      <c r="B206">
        <v>6</v>
      </c>
      <c r="C206">
        <v>0</v>
      </c>
      <c r="F206" s="5">
        <v>44699</v>
      </c>
      <c r="G206" s="1">
        <v>0.4125462962962963</v>
      </c>
    </row>
    <row r="207" spans="1:19" x14ac:dyDescent="0.25">
      <c r="A207">
        <v>144</v>
      </c>
      <c r="B207">
        <v>6</v>
      </c>
      <c r="C207">
        <v>0</v>
      </c>
      <c r="D207">
        <v>3</v>
      </c>
      <c r="F207" s="5">
        <v>44699</v>
      </c>
      <c r="G207" s="7">
        <v>0.41259259259259262</v>
      </c>
      <c r="H207" t="s">
        <v>17</v>
      </c>
      <c r="I207" t="s">
        <v>14</v>
      </c>
      <c r="J207" t="s">
        <v>15</v>
      </c>
      <c r="K207" t="s">
        <v>16</v>
      </c>
      <c r="L207" t="str">
        <f>IF(C207=0,H207,IF(C207=1,I207,IF(C207=2,J207,IF(C207=3,K207))))</f>
        <v>yellow_pencil.jpg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1</v>
      </c>
      <c r="P207">
        <f t="shared" ref="P207" si="411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4</v>
      </c>
      <c r="Q207">
        <f t="shared" ref="Q207" si="412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3</v>
      </c>
      <c r="R207">
        <f t="shared" ref="R207" si="413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2</v>
      </c>
      <c r="S207">
        <f t="shared" ref="S207" si="414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1</v>
      </c>
    </row>
    <row r="208" spans="1:19" hidden="1" x14ac:dyDescent="0.25">
      <c r="A208">
        <v>152</v>
      </c>
      <c r="B208">
        <v>6</v>
      </c>
      <c r="C208">
        <v>1</v>
      </c>
      <c r="F208" s="5">
        <v>44699</v>
      </c>
      <c r="G208" s="1">
        <v>0.41270833333333329</v>
      </c>
    </row>
    <row r="209" spans="1:19" x14ac:dyDescent="0.25">
      <c r="A209">
        <v>175</v>
      </c>
      <c r="B209">
        <v>6</v>
      </c>
      <c r="C209">
        <v>1</v>
      </c>
      <c r="D209">
        <v>2</v>
      </c>
      <c r="F209" s="5">
        <v>44699</v>
      </c>
      <c r="G209" s="7">
        <v>0.41295138888888888</v>
      </c>
      <c r="H209" t="s">
        <v>11</v>
      </c>
      <c r="I209" t="s">
        <v>9</v>
      </c>
      <c r="J209" t="s">
        <v>13</v>
      </c>
      <c r="L209" t="str">
        <f>IF(C209=0,H209,IF(C209=1,I209,IF(C209=2,J209,IF(C209=3,K209))))</f>
        <v>green_pen.jpg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6</v>
      </c>
      <c r="P209">
        <f t="shared" ref="P209" si="415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8</v>
      </c>
      <c r="Q209">
        <f t="shared" ref="Q209" si="416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5</v>
      </c>
      <c r="R209">
        <f t="shared" ref="R209" si="417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8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8</v>
      </c>
    </row>
    <row r="210" spans="1:19" hidden="1" x14ac:dyDescent="0.25">
      <c r="A210">
        <v>189</v>
      </c>
      <c r="B210">
        <v>6</v>
      </c>
      <c r="C210">
        <v>1</v>
      </c>
      <c r="F210" s="5">
        <v>44699</v>
      </c>
      <c r="G210" s="1">
        <v>0.41311342592592593</v>
      </c>
    </row>
    <row r="211" spans="1:19" x14ac:dyDescent="0.25">
      <c r="A211">
        <v>198</v>
      </c>
      <c r="B211">
        <v>6</v>
      </c>
      <c r="C211">
        <v>1</v>
      </c>
      <c r="D211">
        <v>0</v>
      </c>
      <c r="F211" s="5">
        <v>44699</v>
      </c>
      <c r="G211" s="7">
        <v>0.41318287037037038</v>
      </c>
      <c r="H211" t="s">
        <v>10</v>
      </c>
      <c r="I211" t="s">
        <v>13</v>
      </c>
      <c r="L211" t="str">
        <f>IF(C211=0,H211,IF(C211=1,I211,IF(C211=2,J211,IF(C211=3,K211))))</f>
        <v>yellow_pen.jpg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7</v>
      </c>
      <c r="P211">
        <f t="shared" ref="P211" si="419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5</v>
      </c>
      <c r="Q211">
        <f t="shared" ref="Q211" si="420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0</v>
      </c>
      <c r="R211">
        <f t="shared" ref="R211" si="421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22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5</v>
      </c>
    </row>
    <row r="212" spans="1:19" hidden="1" x14ac:dyDescent="0.25">
      <c r="A212">
        <v>209</v>
      </c>
      <c r="B212">
        <v>6</v>
      </c>
      <c r="C212">
        <v>1</v>
      </c>
      <c r="F212" s="5">
        <v>44699</v>
      </c>
      <c r="G212" s="1">
        <v>0.4133101851851852</v>
      </c>
    </row>
    <row r="213" spans="1:19" x14ac:dyDescent="0.25">
      <c r="A213">
        <v>214</v>
      </c>
      <c r="B213">
        <v>6</v>
      </c>
      <c r="C213">
        <v>1</v>
      </c>
      <c r="D213">
        <v>0</v>
      </c>
      <c r="F213" s="5">
        <v>44699</v>
      </c>
      <c r="G213" s="7">
        <v>0.41333333333333333</v>
      </c>
      <c r="H213" t="s">
        <v>10</v>
      </c>
      <c r="I213" t="s">
        <v>13</v>
      </c>
      <c r="J213" t="s">
        <v>11</v>
      </c>
      <c r="L213" t="str">
        <f>IF(C213=0,H213,IF(C213=1,I213,IF(C213=2,J213,IF(C213=3,K213))))</f>
        <v>yellow_pen.jpg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7</v>
      </c>
      <c r="P213">
        <f t="shared" ref="P213" si="423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5</v>
      </c>
      <c r="Q213">
        <f t="shared" ref="Q213" si="424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6</v>
      </c>
      <c r="R213">
        <f t="shared" ref="R213" si="425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6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5</v>
      </c>
    </row>
    <row r="214" spans="1:19" hidden="1" x14ac:dyDescent="0.25">
      <c r="A214">
        <v>225</v>
      </c>
      <c r="B214">
        <v>6</v>
      </c>
      <c r="C214">
        <v>1</v>
      </c>
      <c r="F214" s="5">
        <v>44699</v>
      </c>
      <c r="G214" s="1">
        <v>0.41346064814814815</v>
      </c>
    </row>
    <row r="215" spans="1:19" x14ac:dyDescent="0.25">
      <c r="A215">
        <v>227</v>
      </c>
      <c r="B215">
        <v>6</v>
      </c>
      <c r="C215">
        <v>1</v>
      </c>
      <c r="D215">
        <v>2</v>
      </c>
      <c r="F215" s="5">
        <v>44699</v>
      </c>
      <c r="G215" s="7">
        <v>0.41349537037037037</v>
      </c>
      <c r="H215" t="s">
        <v>13</v>
      </c>
      <c r="I215" t="s">
        <v>9</v>
      </c>
      <c r="J215" t="s">
        <v>10</v>
      </c>
      <c r="K215" t="s">
        <v>11</v>
      </c>
      <c r="L215" t="str">
        <f>IF(C215=0,H215,IF(C215=1,I215,IF(C215=2,J215,IF(C215=3,K215))))</f>
        <v>green_pen.jpg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5</v>
      </c>
      <c r="P215">
        <f t="shared" ref="P215" si="427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8</v>
      </c>
      <c r="Q215">
        <f t="shared" ref="Q215" si="428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7</v>
      </c>
      <c r="R215">
        <f t="shared" ref="R215" si="429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6</v>
      </c>
      <c r="S215">
        <f t="shared" ref="S215" si="430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8</v>
      </c>
    </row>
    <row r="216" spans="1:19" hidden="1" x14ac:dyDescent="0.25">
      <c r="A216">
        <v>238</v>
      </c>
      <c r="B216">
        <v>6</v>
      </c>
      <c r="C216">
        <v>1</v>
      </c>
      <c r="F216" s="5">
        <v>44699</v>
      </c>
      <c r="G216" s="1">
        <v>0.41362268518518519</v>
      </c>
    </row>
    <row r="217" spans="1:19" x14ac:dyDescent="0.25">
      <c r="A217">
        <v>241</v>
      </c>
      <c r="B217">
        <v>6</v>
      </c>
      <c r="C217">
        <v>1</v>
      </c>
      <c r="D217">
        <v>0</v>
      </c>
      <c r="F217" s="5">
        <v>44699</v>
      </c>
      <c r="G217" s="7">
        <v>0.41364583333333332</v>
      </c>
      <c r="H217" t="s">
        <v>10</v>
      </c>
      <c r="I217" t="s">
        <v>13</v>
      </c>
      <c r="J217" t="s">
        <v>9</v>
      </c>
      <c r="L217" t="str">
        <f>IF(C217=0,H217,IF(C217=1,I217,IF(C217=2,J217,IF(C217=3,K217))))</f>
        <v>yellow_pen.jpg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7</v>
      </c>
      <c r="P217">
        <f t="shared" ref="P217" si="431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5</v>
      </c>
      <c r="Q217">
        <f t="shared" ref="Q217" si="432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8</v>
      </c>
      <c r="R217">
        <f t="shared" ref="R217" si="433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34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5</v>
      </c>
    </row>
    <row r="218" spans="1:19" hidden="1" x14ac:dyDescent="0.25">
      <c r="A218">
        <v>250</v>
      </c>
      <c r="B218">
        <v>6</v>
      </c>
      <c r="C218">
        <v>1</v>
      </c>
      <c r="F218" s="5">
        <v>44699</v>
      </c>
      <c r="G218" s="1">
        <v>0.41380787037037042</v>
      </c>
    </row>
    <row r="219" spans="1:19" x14ac:dyDescent="0.25">
      <c r="A219">
        <v>256</v>
      </c>
      <c r="B219">
        <v>6</v>
      </c>
      <c r="C219">
        <v>1</v>
      </c>
      <c r="D219">
        <v>0</v>
      </c>
      <c r="F219" s="5">
        <v>44699</v>
      </c>
      <c r="G219" s="7">
        <v>0.4138310185185185</v>
      </c>
      <c r="H219" t="s">
        <v>10</v>
      </c>
      <c r="I219" t="s">
        <v>9</v>
      </c>
      <c r="L219" t="str">
        <f>IF(C219=0,H219,IF(C219=1,I219,IF(C219=2,J219,IF(C219=3,K219))))</f>
        <v>green_pen.jpg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7</v>
      </c>
      <c r="P219">
        <f t="shared" ref="P219" si="435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8</v>
      </c>
      <c r="Q219">
        <f t="shared" ref="Q219" si="436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0</v>
      </c>
      <c r="R219">
        <f t="shared" ref="R219" si="437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8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8</v>
      </c>
    </row>
    <row r="220" spans="1:19" hidden="1" x14ac:dyDescent="0.25">
      <c r="A220">
        <v>265</v>
      </c>
      <c r="B220">
        <v>6</v>
      </c>
      <c r="C220">
        <v>1</v>
      </c>
      <c r="F220" s="5">
        <v>44699</v>
      </c>
      <c r="G220" s="1">
        <v>0.41395833333333337</v>
      </c>
    </row>
    <row r="221" spans="1:19" x14ac:dyDescent="0.25">
      <c r="A221">
        <v>274</v>
      </c>
      <c r="B221">
        <v>6</v>
      </c>
      <c r="C221">
        <v>1</v>
      </c>
      <c r="D221">
        <v>0</v>
      </c>
      <c r="F221" s="5">
        <v>44699</v>
      </c>
      <c r="G221" s="7">
        <v>0.41402777777777783</v>
      </c>
      <c r="H221" t="s">
        <v>13</v>
      </c>
      <c r="I221" t="s">
        <v>11</v>
      </c>
      <c r="L221" t="str">
        <f>IF(C221=0,H221,IF(C221=1,I221,IF(C221=2,J221,IF(C221=3,K221))))</f>
        <v>red_pen.jpg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5</v>
      </c>
      <c r="P221">
        <f t="shared" ref="P221" si="439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6</v>
      </c>
      <c r="Q221">
        <f t="shared" ref="Q221" si="440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0</v>
      </c>
      <c r="R221">
        <f t="shared" ref="R221" si="441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42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6</v>
      </c>
    </row>
    <row r="222" spans="1:19" hidden="1" x14ac:dyDescent="0.25">
      <c r="A222">
        <v>283</v>
      </c>
      <c r="B222">
        <v>6</v>
      </c>
      <c r="C222">
        <v>1</v>
      </c>
      <c r="F222" s="5">
        <v>44699</v>
      </c>
      <c r="G222" s="1">
        <v>0.41415509259259259</v>
      </c>
    </row>
    <row r="223" spans="1:19" x14ac:dyDescent="0.25">
      <c r="A223">
        <v>287</v>
      </c>
      <c r="B223">
        <v>6</v>
      </c>
      <c r="C223">
        <v>1</v>
      </c>
      <c r="D223">
        <v>0</v>
      </c>
      <c r="F223" s="5">
        <v>44699</v>
      </c>
      <c r="G223" s="7">
        <v>0.41418981481481482</v>
      </c>
      <c r="H223" t="s">
        <v>10</v>
      </c>
      <c r="I223" t="s">
        <v>11</v>
      </c>
      <c r="L223" t="str">
        <f>IF(C223=0,H223,IF(C223=1,I223,IF(C223=2,J223,IF(C223=3,K223))))</f>
        <v>red_pen.jpg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7</v>
      </c>
      <c r="P223">
        <f t="shared" ref="P223" si="443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6</v>
      </c>
      <c r="Q223">
        <f t="shared" ref="Q223" si="444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0</v>
      </c>
      <c r="R223">
        <f t="shared" ref="R223" si="445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6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6</v>
      </c>
    </row>
    <row r="224" spans="1:19" hidden="1" x14ac:dyDescent="0.25">
      <c r="A224">
        <v>299</v>
      </c>
      <c r="B224">
        <v>6</v>
      </c>
      <c r="C224">
        <v>1</v>
      </c>
      <c r="F224" s="5">
        <v>44699</v>
      </c>
      <c r="G224" s="1">
        <v>0.4143634259259259</v>
      </c>
    </row>
    <row r="225" spans="1:19" x14ac:dyDescent="0.25">
      <c r="A225">
        <v>306</v>
      </c>
      <c r="B225">
        <v>6</v>
      </c>
      <c r="C225">
        <v>1</v>
      </c>
      <c r="D225">
        <v>0</v>
      </c>
      <c r="F225" s="5">
        <v>44699</v>
      </c>
      <c r="G225" s="7">
        <v>0.41439814814814818</v>
      </c>
      <c r="H225" t="s">
        <v>13</v>
      </c>
      <c r="I225" t="s">
        <v>9</v>
      </c>
      <c r="L225" t="str">
        <f>IF(C225=0,H225,IF(C225=1,I225,IF(C225=2,J225,IF(C225=3,K225))))</f>
        <v>green_pen.jpg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5</v>
      </c>
      <c r="P225">
        <f t="shared" ref="P225" si="447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8</v>
      </c>
      <c r="Q225">
        <f t="shared" ref="Q225" si="448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0</v>
      </c>
      <c r="R225">
        <f t="shared" ref="R225" si="449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50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8</v>
      </c>
    </row>
    <row r="226" spans="1:19" hidden="1" x14ac:dyDescent="0.25">
      <c r="A226">
        <v>315</v>
      </c>
      <c r="B226">
        <v>6</v>
      </c>
      <c r="C226">
        <v>1</v>
      </c>
      <c r="F226" s="5">
        <v>44699</v>
      </c>
      <c r="G226" s="1">
        <v>0.4145138888888889</v>
      </c>
    </row>
    <row r="227" spans="1:19" x14ac:dyDescent="0.25">
      <c r="A227">
        <v>321</v>
      </c>
      <c r="B227">
        <v>6</v>
      </c>
      <c r="C227">
        <v>1</v>
      </c>
      <c r="D227">
        <v>0</v>
      </c>
      <c r="F227" s="5">
        <v>44699</v>
      </c>
      <c r="G227" s="7">
        <v>0.41456018518518517</v>
      </c>
      <c r="H227" t="s">
        <v>11</v>
      </c>
      <c r="I227" t="s">
        <v>9</v>
      </c>
      <c r="L227" t="str">
        <f>IF(C227=0,H227,IF(C227=1,I227,IF(C227=2,J227,IF(C227=3,K227))))</f>
        <v>green_pen.jpg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6</v>
      </c>
      <c r="P227">
        <f t="shared" ref="P227" si="451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8</v>
      </c>
      <c r="Q227">
        <f t="shared" ref="Q227" si="452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0</v>
      </c>
      <c r="R227">
        <f t="shared" ref="R227" si="453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54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8</v>
      </c>
    </row>
    <row r="228" spans="1:19" hidden="1" x14ac:dyDescent="0.25">
      <c r="A228">
        <v>331</v>
      </c>
      <c r="B228">
        <v>6</v>
      </c>
      <c r="C228">
        <v>1</v>
      </c>
      <c r="F228" s="5">
        <v>44699</v>
      </c>
      <c r="G228" s="1">
        <v>0.41467592592592589</v>
      </c>
    </row>
    <row r="229" spans="1:19" x14ac:dyDescent="0.25">
      <c r="A229">
        <v>335</v>
      </c>
      <c r="B229">
        <v>6</v>
      </c>
      <c r="C229">
        <v>1</v>
      </c>
      <c r="D229">
        <v>2</v>
      </c>
      <c r="F229" s="5">
        <v>44699</v>
      </c>
      <c r="G229" s="7">
        <v>0.41472222222222221</v>
      </c>
      <c r="H229" t="s">
        <v>11</v>
      </c>
      <c r="I229" t="s">
        <v>9</v>
      </c>
      <c r="J229" t="s">
        <v>10</v>
      </c>
      <c r="L229" t="str">
        <f>IF(C229=0,H229,IF(C229=1,I229,IF(C229=2,J229,IF(C229=3,K229))))</f>
        <v>green_pen.jpg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6</v>
      </c>
      <c r="P229">
        <f t="shared" ref="P229" si="455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8</v>
      </c>
      <c r="Q229">
        <f t="shared" ref="Q229" si="456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7</v>
      </c>
      <c r="R229">
        <f t="shared" ref="R229" si="457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8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8</v>
      </c>
    </row>
    <row r="230" spans="1:19" hidden="1" x14ac:dyDescent="0.25">
      <c r="A230">
        <v>341</v>
      </c>
      <c r="B230">
        <v>6</v>
      </c>
      <c r="C230">
        <v>2</v>
      </c>
      <c r="F230" s="5">
        <v>44699</v>
      </c>
      <c r="G230" s="1">
        <v>0.41482638888888884</v>
      </c>
    </row>
    <row r="231" spans="1:19" x14ac:dyDescent="0.25">
      <c r="A231">
        <v>348</v>
      </c>
      <c r="B231">
        <v>6</v>
      </c>
      <c r="C231">
        <v>2</v>
      </c>
      <c r="D231">
        <v>3</v>
      </c>
      <c r="F231" s="5">
        <v>44699</v>
      </c>
      <c r="G231" s="7">
        <v>0.4148958333333333</v>
      </c>
      <c r="H231" t="s">
        <v>19</v>
      </c>
      <c r="I231" t="s">
        <v>20</v>
      </c>
      <c r="J231" t="s">
        <v>18</v>
      </c>
      <c r="K231" t="s">
        <v>21</v>
      </c>
      <c r="L231" t="str">
        <f>IF(C231=0,H231,IF(C231=1,I231,IF(C231=2,J231,IF(C231=3,K231))))</f>
        <v>pen4.jpg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10</v>
      </c>
      <c r="P231">
        <f t="shared" ref="P231" si="459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11</v>
      </c>
      <c r="Q231">
        <f t="shared" ref="Q231" si="460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12</v>
      </c>
      <c r="R231">
        <f t="shared" ref="R231" si="461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9</v>
      </c>
      <c r="S231">
        <f t="shared" ref="S231" si="462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12</v>
      </c>
    </row>
    <row r="232" spans="1:19" hidden="1" x14ac:dyDescent="0.25">
      <c r="A232">
        <v>6</v>
      </c>
      <c r="B232">
        <v>7</v>
      </c>
      <c r="C232">
        <v>0</v>
      </c>
      <c r="F232" s="5">
        <v>44699</v>
      </c>
      <c r="G232" s="1">
        <v>0.41065972222222219</v>
      </c>
    </row>
    <row r="233" spans="1:19" x14ac:dyDescent="0.25">
      <c r="A233">
        <v>13</v>
      </c>
      <c r="B233">
        <v>7</v>
      </c>
      <c r="C233">
        <v>0</v>
      </c>
      <c r="D233">
        <v>2</v>
      </c>
      <c r="F233" s="5">
        <v>44699</v>
      </c>
      <c r="G233" s="7">
        <v>0.4109606481481482</v>
      </c>
      <c r="H233" t="s">
        <v>10</v>
      </c>
      <c r="I233" t="s">
        <v>9</v>
      </c>
      <c r="J233" t="s">
        <v>11</v>
      </c>
      <c r="L233" t="str">
        <f>IF(C233=0,H233,IF(C233=1,I233,IF(C233=2,J233,IF(C233=3,K233))))</f>
        <v>blue_pen.jpg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7</v>
      </c>
      <c r="P233">
        <f t="shared" ref="P233" si="463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8</v>
      </c>
      <c r="Q233">
        <f t="shared" ref="Q233" si="464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6</v>
      </c>
      <c r="R233">
        <f t="shared" ref="R233" si="465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6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7</v>
      </c>
    </row>
    <row r="234" spans="1:19" hidden="1" x14ac:dyDescent="0.25">
      <c r="A234">
        <v>19</v>
      </c>
      <c r="B234">
        <v>7</v>
      </c>
      <c r="C234">
        <v>0</v>
      </c>
      <c r="F234" s="5">
        <v>44699</v>
      </c>
      <c r="G234" s="1">
        <v>0.41107638888888887</v>
      </c>
    </row>
    <row r="235" spans="1:19" x14ac:dyDescent="0.25">
      <c r="A235">
        <v>41</v>
      </c>
      <c r="B235">
        <v>7</v>
      </c>
      <c r="C235">
        <v>0</v>
      </c>
      <c r="D235">
        <v>0</v>
      </c>
      <c r="F235" s="5">
        <v>44699</v>
      </c>
      <c r="G235" s="7">
        <v>0.41135416666666669</v>
      </c>
      <c r="H235" t="s">
        <v>9</v>
      </c>
      <c r="I235" t="s">
        <v>11</v>
      </c>
      <c r="L235" t="str">
        <f t="shared" ref="L235" si="467">IF(C235=0,H235,IF(C235=1,I235,IF(C235=2,J235,IF(C235=3,K235))))</f>
        <v>green_pen.jpg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8</v>
      </c>
      <c r="P235">
        <f t="shared" ref="P235" si="468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6</v>
      </c>
      <c r="Q235">
        <f t="shared" ref="Q235" si="469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0</v>
      </c>
      <c r="R235">
        <f t="shared" ref="R235" si="470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71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8</v>
      </c>
    </row>
    <row r="236" spans="1:19" hidden="1" x14ac:dyDescent="0.25">
      <c r="A236">
        <v>51</v>
      </c>
      <c r="B236">
        <v>7</v>
      </c>
      <c r="C236">
        <v>0</v>
      </c>
      <c r="F236" s="5">
        <v>44699</v>
      </c>
      <c r="G236" s="1">
        <v>0.41151620370370368</v>
      </c>
    </row>
    <row r="237" spans="1:19" x14ac:dyDescent="0.25">
      <c r="A237">
        <v>60</v>
      </c>
      <c r="B237">
        <v>7</v>
      </c>
      <c r="C237">
        <v>0</v>
      </c>
      <c r="D237">
        <v>1</v>
      </c>
      <c r="F237" s="5">
        <v>44699</v>
      </c>
      <c r="G237" s="7">
        <v>0.41163194444444445</v>
      </c>
      <c r="H237" t="s">
        <v>11</v>
      </c>
      <c r="I237" t="s">
        <v>10</v>
      </c>
      <c r="L237" t="str">
        <f>IF(C237=0,H237,IF(C237=1,I237,IF(C237=2,J237,IF(C237=3,K237))))</f>
        <v>red_pen.jpg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6</v>
      </c>
      <c r="P237">
        <f t="shared" ref="P237" si="472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7</v>
      </c>
      <c r="Q237">
        <f t="shared" ref="Q237" si="473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0</v>
      </c>
      <c r="R237">
        <f t="shared" ref="R237" si="474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75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6</v>
      </c>
    </row>
    <row r="238" spans="1:19" hidden="1" x14ac:dyDescent="0.25">
      <c r="A238">
        <v>64</v>
      </c>
      <c r="B238">
        <v>7</v>
      </c>
      <c r="C238">
        <v>0</v>
      </c>
      <c r="F238" s="5">
        <v>44699</v>
      </c>
      <c r="G238" s="1">
        <v>0.41173611111111108</v>
      </c>
    </row>
    <row r="239" spans="1:19" x14ac:dyDescent="0.25">
      <c r="A239">
        <v>70</v>
      </c>
      <c r="B239">
        <v>7</v>
      </c>
      <c r="C239">
        <v>0</v>
      </c>
      <c r="D239">
        <v>0</v>
      </c>
      <c r="F239" s="5">
        <v>44699</v>
      </c>
      <c r="G239" s="7">
        <v>0.41177083333333336</v>
      </c>
      <c r="H239" t="s">
        <v>13</v>
      </c>
      <c r="I239" t="s">
        <v>10</v>
      </c>
      <c r="L239" t="str">
        <f>IF(C239=0,H239,IF(C239=1,I239,IF(C239=2,J239,IF(C239=3,K239))))</f>
        <v>yellow_pen.jpg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5</v>
      </c>
      <c r="P239">
        <f t="shared" ref="P239" si="476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7</v>
      </c>
      <c r="Q239">
        <f t="shared" ref="Q239" si="477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0</v>
      </c>
      <c r="R239">
        <f t="shared" ref="R239" si="478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9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5</v>
      </c>
    </row>
    <row r="240" spans="1:19" hidden="1" x14ac:dyDescent="0.25">
      <c r="A240">
        <v>80</v>
      </c>
      <c r="B240">
        <v>7</v>
      </c>
      <c r="C240">
        <v>0</v>
      </c>
      <c r="F240" s="5">
        <v>44699</v>
      </c>
      <c r="G240" s="1">
        <v>0.41189814814814812</v>
      </c>
    </row>
    <row r="241" spans="1:19" x14ac:dyDescent="0.25">
      <c r="A241">
        <v>95</v>
      </c>
      <c r="B241">
        <v>7</v>
      </c>
      <c r="C241">
        <v>0</v>
      </c>
      <c r="D241">
        <v>1</v>
      </c>
      <c r="F241" s="5">
        <v>44699</v>
      </c>
      <c r="G241" s="7">
        <v>0.41207175925925926</v>
      </c>
      <c r="H241" t="s">
        <v>13</v>
      </c>
      <c r="I241" t="s">
        <v>9</v>
      </c>
      <c r="L241" t="str">
        <f>IF(C241=0,H241,IF(C241=1,I241,IF(C241=2,J241,IF(C241=3,K241))))</f>
        <v>yellow_pen.jpg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5</v>
      </c>
      <c r="P241">
        <f t="shared" ref="P241" si="480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8</v>
      </c>
      <c r="Q241">
        <f t="shared" ref="Q241" si="481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0</v>
      </c>
      <c r="R241">
        <f t="shared" ref="R241" si="482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83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5</v>
      </c>
    </row>
    <row r="242" spans="1:19" hidden="1" x14ac:dyDescent="0.25">
      <c r="A242">
        <v>107</v>
      </c>
      <c r="B242">
        <v>7</v>
      </c>
      <c r="C242">
        <v>0</v>
      </c>
      <c r="F242" s="5">
        <v>44699</v>
      </c>
      <c r="G242" s="1">
        <v>0.41219907407407402</v>
      </c>
    </row>
    <row r="243" spans="1:19" x14ac:dyDescent="0.25">
      <c r="A243">
        <v>110</v>
      </c>
      <c r="B243">
        <v>7</v>
      </c>
      <c r="C243">
        <v>0</v>
      </c>
      <c r="D243">
        <v>0</v>
      </c>
      <c r="F243" s="5">
        <v>44699</v>
      </c>
      <c r="G243" s="7">
        <v>0.41222222222222221</v>
      </c>
      <c r="H243" t="s">
        <v>11</v>
      </c>
      <c r="I243" t="s">
        <v>13</v>
      </c>
      <c r="L243" t="str">
        <f>IF(C243=0,H243,IF(C243=1,I243,IF(C243=2,J243,IF(C243=3,K243))))</f>
        <v>red_pen.jpg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6</v>
      </c>
      <c r="P243">
        <f t="shared" ref="P243" si="484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5</v>
      </c>
      <c r="Q243">
        <f t="shared" ref="Q243" si="485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0</v>
      </c>
      <c r="R243">
        <f t="shared" ref="R243" si="486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7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6</v>
      </c>
    </row>
    <row r="244" spans="1:19" hidden="1" x14ac:dyDescent="0.25">
      <c r="A244">
        <v>119</v>
      </c>
      <c r="B244">
        <v>7</v>
      </c>
      <c r="C244">
        <v>0</v>
      </c>
      <c r="F244" s="5">
        <v>44699</v>
      </c>
      <c r="G244" s="1">
        <v>0.41234953703703708</v>
      </c>
    </row>
    <row r="245" spans="1:19" x14ac:dyDescent="0.25">
      <c r="A245">
        <v>124</v>
      </c>
      <c r="B245">
        <v>7</v>
      </c>
      <c r="C245">
        <v>0</v>
      </c>
      <c r="D245">
        <v>0</v>
      </c>
      <c r="F245" s="5">
        <v>44699</v>
      </c>
      <c r="G245" s="7">
        <v>0.41240740740740739</v>
      </c>
      <c r="H245" t="s">
        <v>13</v>
      </c>
      <c r="I245" t="s">
        <v>11</v>
      </c>
      <c r="J245" t="s">
        <v>10</v>
      </c>
      <c r="L245" t="str">
        <f>IF(C245=0,H245,IF(C245=1,I245,IF(C245=2,J245,IF(C245=3,K245))))</f>
        <v>yellow_pen.jpg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5</v>
      </c>
      <c r="P245">
        <f t="shared" ref="P245" si="488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6</v>
      </c>
      <c r="Q245">
        <f t="shared" ref="Q245" si="489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7</v>
      </c>
      <c r="R245">
        <f t="shared" ref="R245" si="490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91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5</v>
      </c>
    </row>
    <row r="246" spans="1:19" hidden="1" x14ac:dyDescent="0.25">
      <c r="A246">
        <v>133</v>
      </c>
      <c r="B246">
        <v>7</v>
      </c>
      <c r="C246">
        <v>0</v>
      </c>
      <c r="F246" s="5">
        <v>44699</v>
      </c>
      <c r="G246" s="1">
        <v>0.41251157407407407</v>
      </c>
    </row>
    <row r="247" spans="1:19" x14ac:dyDescent="0.25">
      <c r="A247">
        <v>138</v>
      </c>
      <c r="B247">
        <v>7</v>
      </c>
      <c r="C247">
        <v>0</v>
      </c>
      <c r="D247">
        <v>0</v>
      </c>
      <c r="F247" s="5">
        <v>44699</v>
      </c>
      <c r="G247" s="7">
        <v>0.41255787037037034</v>
      </c>
      <c r="H247" t="s">
        <v>9</v>
      </c>
      <c r="I247" t="s">
        <v>13</v>
      </c>
      <c r="J247" t="s">
        <v>11</v>
      </c>
      <c r="L247" t="str">
        <f>IF(C247=0,H247,IF(C247=1,I247,IF(C247=2,J247,IF(C247=3,K247))))</f>
        <v>green_pen.jpg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8</v>
      </c>
      <c r="P247">
        <f t="shared" ref="P247" si="492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5</v>
      </c>
      <c r="Q247">
        <f t="shared" ref="Q247" si="493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6</v>
      </c>
      <c r="R247">
        <f t="shared" ref="R247" si="494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95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8</v>
      </c>
    </row>
    <row r="248" spans="1:19" hidden="1" x14ac:dyDescent="0.25">
      <c r="A248">
        <v>149</v>
      </c>
      <c r="B248">
        <v>7</v>
      </c>
      <c r="C248">
        <v>0</v>
      </c>
      <c r="F248" s="5">
        <v>44699</v>
      </c>
      <c r="G248" s="1">
        <v>0.41266203703703702</v>
      </c>
    </row>
    <row r="249" spans="1:19" x14ac:dyDescent="0.25">
      <c r="A249">
        <v>155</v>
      </c>
      <c r="B249">
        <v>7</v>
      </c>
      <c r="C249">
        <v>0</v>
      </c>
      <c r="D249">
        <v>3</v>
      </c>
      <c r="F249" s="5">
        <v>44699</v>
      </c>
      <c r="G249" s="7">
        <v>0.41273148148148148</v>
      </c>
      <c r="H249" t="s">
        <v>11</v>
      </c>
      <c r="I249" t="s">
        <v>10</v>
      </c>
      <c r="J249" t="s">
        <v>9</v>
      </c>
      <c r="K249" t="s">
        <v>13</v>
      </c>
      <c r="L249" t="str">
        <f>IF(C249=0,H249,IF(C249=1,I249,IF(C249=2,J249,IF(C249=3,K249))))</f>
        <v>red_pen.jpg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6</v>
      </c>
      <c r="P249">
        <f t="shared" ref="P249" si="496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7</v>
      </c>
      <c r="Q249">
        <f t="shared" ref="Q249" si="497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8</v>
      </c>
      <c r="R249">
        <f t="shared" ref="R249" si="498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5</v>
      </c>
      <c r="S249">
        <f t="shared" ref="S249" si="499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6</v>
      </c>
    </row>
    <row r="250" spans="1:19" hidden="1" x14ac:dyDescent="0.25">
      <c r="A250">
        <v>163</v>
      </c>
      <c r="B250">
        <v>7</v>
      </c>
      <c r="C250">
        <v>0</v>
      </c>
      <c r="F250" s="5">
        <v>44699</v>
      </c>
      <c r="G250" s="1">
        <v>0.41283564814814816</v>
      </c>
    </row>
    <row r="251" spans="1:19" x14ac:dyDescent="0.25">
      <c r="A251">
        <v>168</v>
      </c>
      <c r="B251">
        <v>7</v>
      </c>
      <c r="C251">
        <v>0</v>
      </c>
      <c r="D251">
        <v>0</v>
      </c>
      <c r="F251" s="5">
        <v>44699</v>
      </c>
      <c r="G251" s="7">
        <v>0.41285879629629635</v>
      </c>
      <c r="H251" t="s">
        <v>9</v>
      </c>
      <c r="I251" t="s">
        <v>10</v>
      </c>
      <c r="L251" t="str">
        <f>IF(C251=0,H251,IF(C251=1,I251,IF(C251=2,J251,IF(C251=3,K251))))</f>
        <v>green_pen.jpg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8</v>
      </c>
      <c r="P251">
        <f t="shared" ref="P251" si="500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7</v>
      </c>
      <c r="Q251">
        <f t="shared" ref="Q251" si="501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0</v>
      </c>
      <c r="R251">
        <f t="shared" ref="R251" si="502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503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8</v>
      </c>
    </row>
    <row r="252" spans="1:19" hidden="1" x14ac:dyDescent="0.25">
      <c r="A252">
        <v>177</v>
      </c>
      <c r="B252">
        <v>7</v>
      </c>
      <c r="C252">
        <v>0</v>
      </c>
      <c r="F252" s="5">
        <v>44699</v>
      </c>
      <c r="G252" s="1">
        <v>0.41297453703703701</v>
      </c>
    </row>
    <row r="253" spans="1:19" x14ac:dyDescent="0.25">
      <c r="A253">
        <v>185</v>
      </c>
      <c r="B253">
        <v>7</v>
      </c>
      <c r="C253">
        <v>0</v>
      </c>
      <c r="D253">
        <v>2</v>
      </c>
      <c r="F253" s="5">
        <v>44699</v>
      </c>
      <c r="G253" s="7">
        <v>0.41304398148148147</v>
      </c>
      <c r="H253" t="s">
        <v>10</v>
      </c>
      <c r="I253" t="s">
        <v>13</v>
      </c>
      <c r="J253" t="s">
        <v>9</v>
      </c>
      <c r="L253" t="str">
        <f>IF(C253=0,H253,IF(C253=1,I253,IF(C253=2,J253,IF(C253=3,K253))))</f>
        <v>blue_pen.jpg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7</v>
      </c>
      <c r="P253">
        <f t="shared" ref="P253" si="504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5</v>
      </c>
      <c r="Q253">
        <f t="shared" ref="Q253" si="505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8</v>
      </c>
      <c r="R253">
        <f t="shared" ref="R253" si="506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7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7</v>
      </c>
    </row>
    <row r="254" spans="1:19" hidden="1" x14ac:dyDescent="0.25">
      <c r="A254">
        <v>195</v>
      </c>
      <c r="B254">
        <v>7</v>
      </c>
      <c r="C254">
        <v>1</v>
      </c>
      <c r="F254" s="5">
        <v>44699</v>
      </c>
      <c r="G254" s="1">
        <v>0.41315972222222225</v>
      </c>
    </row>
    <row r="255" spans="1:19" x14ac:dyDescent="0.25">
      <c r="A255">
        <v>201</v>
      </c>
      <c r="B255">
        <v>7</v>
      </c>
      <c r="C255">
        <v>1</v>
      </c>
      <c r="D255">
        <v>1</v>
      </c>
      <c r="F255" s="5">
        <v>44699</v>
      </c>
      <c r="G255" s="7">
        <v>0.41321759259259255</v>
      </c>
      <c r="H255" t="s">
        <v>17</v>
      </c>
      <c r="I255" t="s">
        <v>15</v>
      </c>
      <c r="L255" t="str">
        <f>IF(C255=0,H255,IF(C255=1,I255,IF(C255=2,J255,IF(C255=3,K255))))</f>
        <v>orange_pencil.jpg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1</v>
      </c>
      <c r="P255">
        <f t="shared" ref="P255" si="508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3</v>
      </c>
      <c r="Q255">
        <f t="shared" ref="Q255" si="509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0</v>
      </c>
      <c r="R255">
        <f t="shared" ref="R255" si="510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11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3</v>
      </c>
    </row>
    <row r="256" spans="1:19" hidden="1" x14ac:dyDescent="0.25">
      <c r="A256">
        <v>211</v>
      </c>
      <c r="B256">
        <v>7</v>
      </c>
      <c r="C256">
        <v>1</v>
      </c>
      <c r="F256" s="5">
        <v>44699</v>
      </c>
      <c r="G256" s="1">
        <v>0.41332175925925929</v>
      </c>
    </row>
    <row r="257" spans="1:19" x14ac:dyDescent="0.25">
      <c r="A257">
        <v>216</v>
      </c>
      <c r="B257">
        <v>7</v>
      </c>
      <c r="C257">
        <v>1</v>
      </c>
      <c r="D257">
        <v>1</v>
      </c>
      <c r="F257" s="5">
        <v>44699</v>
      </c>
      <c r="G257" s="7">
        <v>0.4133680555555555</v>
      </c>
      <c r="H257" t="s">
        <v>16</v>
      </c>
      <c r="I257" t="s">
        <v>14</v>
      </c>
      <c r="J257" t="s">
        <v>17</v>
      </c>
      <c r="L257" t="str">
        <f>IF(C257=0,H257,IF(C257=1,I257,IF(C257=2,J257,IF(C257=3,K257))))</f>
        <v>blue_pencil.jpg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2</v>
      </c>
      <c r="P257">
        <f t="shared" ref="P257" si="512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4</v>
      </c>
      <c r="Q257">
        <f t="shared" ref="Q257" si="513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1</v>
      </c>
      <c r="R257">
        <f t="shared" ref="R257" si="514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15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4</v>
      </c>
    </row>
    <row r="258" spans="1:19" hidden="1" x14ac:dyDescent="0.25">
      <c r="A258">
        <v>226</v>
      </c>
      <c r="B258">
        <v>7</v>
      </c>
      <c r="C258">
        <v>1</v>
      </c>
      <c r="F258" s="5">
        <v>44699</v>
      </c>
      <c r="G258" s="1">
        <v>0.41348379629629628</v>
      </c>
    </row>
    <row r="259" spans="1:19" x14ac:dyDescent="0.25">
      <c r="A259">
        <v>237</v>
      </c>
      <c r="B259">
        <v>7</v>
      </c>
      <c r="C259">
        <v>1</v>
      </c>
      <c r="D259">
        <v>1</v>
      </c>
      <c r="F259" s="5">
        <v>44699</v>
      </c>
      <c r="G259" s="7">
        <v>0.41359953703703706</v>
      </c>
      <c r="H259" t="s">
        <v>14</v>
      </c>
      <c r="I259" t="s">
        <v>16</v>
      </c>
      <c r="J259" t="s">
        <v>15</v>
      </c>
      <c r="L259" t="str">
        <f t="shared" ref="L259" si="516">IF(C259=0,H259,IF(C259=1,I259,IF(C259=2,J259,IF(C259=3,K259))))</f>
        <v>red_pencil.jpg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4</v>
      </c>
      <c r="P259">
        <f t="shared" ref="P259" si="517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2</v>
      </c>
      <c r="Q259">
        <f t="shared" ref="Q259" si="518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3</v>
      </c>
      <c r="R259">
        <f t="shared" ref="R259" si="519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20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2</v>
      </c>
    </row>
    <row r="260" spans="1:19" hidden="1" x14ac:dyDescent="0.25">
      <c r="A260">
        <v>254</v>
      </c>
      <c r="B260">
        <v>7</v>
      </c>
      <c r="C260">
        <v>1</v>
      </c>
      <c r="F260" s="5">
        <v>44699</v>
      </c>
      <c r="G260" s="1">
        <v>0.41381944444444446</v>
      </c>
    </row>
    <row r="261" spans="1:19" x14ac:dyDescent="0.25">
      <c r="A261">
        <v>260</v>
      </c>
      <c r="B261">
        <v>7</v>
      </c>
      <c r="C261">
        <v>1</v>
      </c>
      <c r="D261">
        <v>0</v>
      </c>
      <c r="F261" s="5">
        <v>44699</v>
      </c>
      <c r="G261" s="7">
        <v>0.41385416666666663</v>
      </c>
      <c r="H261" t="s">
        <v>14</v>
      </c>
      <c r="I261" t="s">
        <v>17</v>
      </c>
      <c r="J261" t="s">
        <v>15</v>
      </c>
      <c r="L261" t="str">
        <f>IF(C261=0,H261,IF(C261=1,I261,IF(C261=2,J261,IF(C261=3,K261))))</f>
        <v>yellow_pencil.jpg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4</v>
      </c>
      <c r="P261">
        <f t="shared" ref="P261" si="521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1</v>
      </c>
      <c r="Q261">
        <f t="shared" ref="Q261" si="522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3</v>
      </c>
      <c r="R261">
        <f t="shared" ref="R261" si="523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24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1</v>
      </c>
    </row>
    <row r="262" spans="1:19" hidden="1" x14ac:dyDescent="0.25">
      <c r="A262">
        <v>266</v>
      </c>
      <c r="B262">
        <v>7</v>
      </c>
      <c r="C262">
        <v>1</v>
      </c>
      <c r="F262" s="5">
        <v>44699</v>
      </c>
      <c r="G262" s="1">
        <v>0.41395833333333337</v>
      </c>
    </row>
    <row r="263" spans="1:19" x14ac:dyDescent="0.25">
      <c r="A263">
        <v>271</v>
      </c>
      <c r="B263">
        <v>7</v>
      </c>
      <c r="C263">
        <v>1</v>
      </c>
      <c r="D263">
        <v>1</v>
      </c>
      <c r="F263" s="5">
        <v>44699</v>
      </c>
      <c r="G263" s="7">
        <v>0.41398148148148151</v>
      </c>
      <c r="H263" t="s">
        <v>16</v>
      </c>
      <c r="I263" t="s">
        <v>15</v>
      </c>
      <c r="L263" t="str">
        <f>IF(C263=0,H263,IF(C263=1,I263,IF(C263=2,J263,IF(C263=3,K263))))</f>
        <v>orange_pencil.jpg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2</v>
      </c>
      <c r="P263">
        <f t="shared" ref="P263" si="525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3</v>
      </c>
      <c r="Q263">
        <f t="shared" ref="Q263" si="526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0</v>
      </c>
      <c r="R263">
        <f t="shared" ref="R263" si="527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8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3</v>
      </c>
    </row>
    <row r="264" spans="1:19" hidden="1" x14ac:dyDescent="0.25">
      <c r="A264">
        <v>282</v>
      </c>
      <c r="B264">
        <v>7</v>
      </c>
      <c r="C264">
        <v>1</v>
      </c>
      <c r="F264" s="5">
        <v>44699</v>
      </c>
      <c r="G264" s="1">
        <v>0.41415509259259259</v>
      </c>
    </row>
    <row r="265" spans="1:19" x14ac:dyDescent="0.25">
      <c r="A265">
        <v>289</v>
      </c>
      <c r="B265">
        <v>7</v>
      </c>
      <c r="C265">
        <v>1</v>
      </c>
      <c r="D265">
        <v>0</v>
      </c>
      <c r="F265" s="5">
        <v>44699</v>
      </c>
      <c r="G265" s="7">
        <v>0.41420138888888891</v>
      </c>
      <c r="H265" t="s">
        <v>14</v>
      </c>
      <c r="I265" t="s">
        <v>15</v>
      </c>
      <c r="L265" t="str">
        <f>IF(C265=0,H265,IF(C265=1,I265,IF(C265=2,J265,IF(C265=3,K265))))</f>
        <v>orange_pencil.jpg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4</v>
      </c>
      <c r="P265">
        <f t="shared" ref="P265" si="529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3</v>
      </c>
      <c r="Q265">
        <f t="shared" ref="Q265" si="530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0</v>
      </c>
      <c r="R265">
        <f t="shared" ref="R265" si="531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32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3</v>
      </c>
    </row>
    <row r="266" spans="1:19" hidden="1" x14ac:dyDescent="0.25">
      <c r="A266">
        <v>298</v>
      </c>
      <c r="B266">
        <v>7</v>
      </c>
      <c r="C266">
        <v>1</v>
      </c>
      <c r="F266" s="5">
        <v>44699</v>
      </c>
      <c r="G266" s="1">
        <v>0.41435185185185186</v>
      </c>
    </row>
    <row r="267" spans="1:19" x14ac:dyDescent="0.25">
      <c r="A267">
        <v>305</v>
      </c>
      <c r="B267">
        <v>7</v>
      </c>
      <c r="C267">
        <v>1</v>
      </c>
      <c r="D267">
        <v>1</v>
      </c>
      <c r="F267" s="5">
        <v>44699</v>
      </c>
      <c r="G267" s="7">
        <v>0.41437499999999999</v>
      </c>
      <c r="H267" t="s">
        <v>14</v>
      </c>
      <c r="I267" t="s">
        <v>16</v>
      </c>
      <c r="L267" t="str">
        <f>IF(C267=0,H267,IF(C267=1,I267,IF(C267=2,J267,IF(C267=3,K267))))</f>
        <v>red_pencil.jpg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4</v>
      </c>
      <c r="P267">
        <f t="shared" ref="P267" si="533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2</v>
      </c>
      <c r="Q267">
        <f t="shared" ref="Q267" si="534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0</v>
      </c>
      <c r="R267">
        <f t="shared" ref="R267" si="535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36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2</v>
      </c>
    </row>
    <row r="268" spans="1:19" hidden="1" x14ac:dyDescent="0.25">
      <c r="A268">
        <v>314</v>
      </c>
      <c r="B268">
        <v>7</v>
      </c>
      <c r="C268">
        <v>1</v>
      </c>
      <c r="F268" s="5">
        <v>44699</v>
      </c>
      <c r="G268" s="1">
        <v>0.4145138888888889</v>
      </c>
    </row>
    <row r="269" spans="1:19" x14ac:dyDescent="0.25">
      <c r="A269">
        <v>318</v>
      </c>
      <c r="B269">
        <v>7</v>
      </c>
      <c r="C269">
        <v>1</v>
      </c>
      <c r="D269">
        <v>0</v>
      </c>
      <c r="F269" s="5">
        <v>44699</v>
      </c>
      <c r="G269" s="7">
        <v>0.41454861111111113</v>
      </c>
      <c r="H269" t="s">
        <v>17</v>
      </c>
      <c r="I269" t="s">
        <v>14</v>
      </c>
      <c r="L269" t="str">
        <f>IF(C269=0,H269,IF(C269=1,I269,IF(C269=2,J269,IF(C269=3,K269))))</f>
        <v>blue_pencil.jpg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1</v>
      </c>
      <c r="P269">
        <f t="shared" ref="P269" si="537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4</v>
      </c>
      <c r="Q269">
        <f t="shared" ref="Q269" si="538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0</v>
      </c>
      <c r="R269">
        <f t="shared" ref="R269" si="539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40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4</v>
      </c>
    </row>
    <row r="270" spans="1:19" hidden="1" x14ac:dyDescent="0.25">
      <c r="A270">
        <v>329</v>
      </c>
      <c r="B270">
        <v>7</v>
      </c>
      <c r="C270">
        <v>1</v>
      </c>
      <c r="F270" s="5">
        <v>44699</v>
      </c>
      <c r="G270" s="1">
        <v>0.41466435185185185</v>
      </c>
    </row>
    <row r="271" spans="1:19" x14ac:dyDescent="0.25">
      <c r="A271">
        <v>333</v>
      </c>
      <c r="B271">
        <v>7</v>
      </c>
      <c r="C271">
        <v>1</v>
      </c>
      <c r="D271">
        <v>2</v>
      </c>
      <c r="F271" s="5">
        <v>44699</v>
      </c>
      <c r="G271" s="7">
        <v>0.41471064814814818</v>
      </c>
      <c r="H271" t="s">
        <v>17</v>
      </c>
      <c r="I271" t="s">
        <v>16</v>
      </c>
      <c r="J271" t="s">
        <v>15</v>
      </c>
      <c r="L271" t="str">
        <f>IF(C271=0,H271,IF(C271=1,I271,IF(C271=2,J271,IF(C271=3,K271))))</f>
        <v>red_pencil.jpg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1</v>
      </c>
      <c r="P271">
        <f t="shared" ref="P271" si="541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2</v>
      </c>
      <c r="Q271">
        <f t="shared" ref="Q271" si="542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3</v>
      </c>
      <c r="R271">
        <f t="shared" ref="R271" si="543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44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2</v>
      </c>
    </row>
    <row r="272" spans="1:19" hidden="1" x14ac:dyDescent="0.25">
      <c r="A272">
        <v>343</v>
      </c>
      <c r="B272">
        <v>7</v>
      </c>
      <c r="C272">
        <v>1</v>
      </c>
      <c r="F272" s="5">
        <v>44699</v>
      </c>
      <c r="G272" s="1">
        <v>0.41483796296296299</v>
      </c>
    </row>
    <row r="273" spans="1:19" x14ac:dyDescent="0.25">
      <c r="A273">
        <v>346</v>
      </c>
      <c r="B273">
        <v>7</v>
      </c>
      <c r="C273">
        <v>1</v>
      </c>
      <c r="D273">
        <v>0</v>
      </c>
      <c r="F273" s="5">
        <v>44699</v>
      </c>
      <c r="G273" s="7">
        <v>0.41488425925925926</v>
      </c>
      <c r="H273" t="s">
        <v>14</v>
      </c>
      <c r="I273" t="s">
        <v>16</v>
      </c>
      <c r="J273" t="s">
        <v>17</v>
      </c>
      <c r="K273" t="s">
        <v>15</v>
      </c>
      <c r="L273" t="str">
        <f>IF(C273=0,H273,IF(C273=1,I273,IF(C273=2,J273,IF(C273=3,K273))))</f>
        <v>red_pencil.jpg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4</v>
      </c>
      <c r="P273">
        <f t="shared" ref="P273" si="545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2</v>
      </c>
      <c r="Q273">
        <f t="shared" ref="Q273" si="546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1</v>
      </c>
      <c r="R273">
        <f t="shared" ref="R273" si="547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3</v>
      </c>
      <c r="S273">
        <f t="shared" ref="S273" si="548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2</v>
      </c>
    </row>
    <row r="274" spans="1:19" hidden="1" x14ac:dyDescent="0.25">
      <c r="A274">
        <v>352</v>
      </c>
      <c r="B274">
        <v>7</v>
      </c>
      <c r="C274">
        <v>1</v>
      </c>
      <c r="F274" s="5">
        <v>44699</v>
      </c>
      <c r="G274" s="1">
        <v>0.41501157407407407</v>
      </c>
    </row>
    <row r="275" spans="1:19" x14ac:dyDescent="0.25">
      <c r="A275">
        <v>354</v>
      </c>
      <c r="B275">
        <v>7</v>
      </c>
      <c r="C275">
        <v>1</v>
      </c>
      <c r="D275">
        <v>1</v>
      </c>
      <c r="F275" s="5">
        <v>44699</v>
      </c>
      <c r="G275" s="7">
        <v>0.41503472222222221</v>
      </c>
      <c r="H275" t="s">
        <v>17</v>
      </c>
      <c r="I275" t="s">
        <v>16</v>
      </c>
      <c r="L275" t="str">
        <f>IF(C275=0,H275,IF(C275=1,I275,IF(C275=2,J275,IF(C275=3,K275))))</f>
        <v>red_pencil.jpg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1</v>
      </c>
      <c r="P275">
        <f t="shared" ref="P275" si="549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2</v>
      </c>
      <c r="Q275">
        <f t="shared" ref="Q275" si="550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0</v>
      </c>
      <c r="R275">
        <f t="shared" ref="R275" si="551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52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2</v>
      </c>
    </row>
    <row r="276" spans="1:19" hidden="1" x14ac:dyDescent="0.25">
      <c r="A276">
        <v>358</v>
      </c>
      <c r="B276">
        <v>7</v>
      </c>
      <c r="C276">
        <v>2</v>
      </c>
      <c r="F276" s="5">
        <v>44699</v>
      </c>
      <c r="G276" s="1">
        <v>0.41513888888888889</v>
      </c>
    </row>
    <row r="277" spans="1:19" x14ac:dyDescent="0.25">
      <c r="A277">
        <v>360</v>
      </c>
      <c r="B277">
        <v>7</v>
      </c>
      <c r="C277">
        <v>2</v>
      </c>
      <c r="D277">
        <v>1</v>
      </c>
      <c r="F277" s="5">
        <v>44699</v>
      </c>
      <c r="G277" s="7">
        <v>0.41518518518518516</v>
      </c>
      <c r="H277" t="s">
        <v>20</v>
      </c>
      <c r="I277" t="s">
        <v>18</v>
      </c>
      <c r="J277" t="s">
        <v>21</v>
      </c>
      <c r="K277" t="s">
        <v>19</v>
      </c>
      <c r="L277" t="str">
        <f>IF(C277=0,H277,IF(C277=1,I277,IF(C277=2,J277,IF(C277=3,K277))))</f>
        <v>pen1.jpg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11</v>
      </c>
      <c r="P277">
        <f t="shared" ref="P277" si="553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12</v>
      </c>
      <c r="Q277">
        <f t="shared" ref="Q277" si="554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9</v>
      </c>
      <c r="R277">
        <f t="shared" ref="R277" si="555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10</v>
      </c>
      <c r="S277">
        <f t="shared" ref="S277" si="556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9</v>
      </c>
    </row>
    <row r="278" spans="1:19" hidden="1" x14ac:dyDescent="0.25">
      <c r="A278">
        <v>12</v>
      </c>
      <c r="B278">
        <v>12</v>
      </c>
      <c r="C278">
        <v>0</v>
      </c>
      <c r="F278" s="5">
        <v>44699</v>
      </c>
      <c r="G278" s="1">
        <v>0.41092592592592592</v>
      </c>
    </row>
    <row r="279" spans="1:19" x14ac:dyDescent="0.25">
      <c r="A279">
        <v>26</v>
      </c>
      <c r="B279">
        <v>12</v>
      </c>
      <c r="C279">
        <v>0</v>
      </c>
      <c r="D279">
        <v>1</v>
      </c>
      <c r="F279" s="5">
        <v>44699</v>
      </c>
      <c r="G279" s="7">
        <v>0.4111805555555556</v>
      </c>
      <c r="H279" t="s">
        <v>15</v>
      </c>
      <c r="I279" t="s">
        <v>17</v>
      </c>
      <c r="J279" t="s">
        <v>14</v>
      </c>
      <c r="L279" t="str">
        <f>IF(C279=0,H279,IF(C279=1,I279,IF(C279=2,J279,IF(C279=3,K279))))</f>
        <v>orange_pencil.jpg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3</v>
      </c>
      <c r="P279">
        <f t="shared" ref="P279" si="557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1</v>
      </c>
      <c r="Q279">
        <f t="shared" ref="Q279" si="558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4</v>
      </c>
      <c r="R279">
        <f t="shared" ref="R279" si="559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60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3</v>
      </c>
    </row>
    <row r="280" spans="1:19" hidden="1" x14ac:dyDescent="0.25">
      <c r="A280">
        <v>37</v>
      </c>
      <c r="B280">
        <v>12</v>
      </c>
      <c r="C280">
        <v>0</v>
      </c>
      <c r="F280" s="5">
        <v>44699</v>
      </c>
      <c r="G280" s="1">
        <v>0.41133101851851855</v>
      </c>
    </row>
    <row r="281" spans="1:19" x14ac:dyDescent="0.25">
      <c r="A281">
        <v>47</v>
      </c>
      <c r="B281">
        <v>12</v>
      </c>
      <c r="C281">
        <v>0</v>
      </c>
      <c r="D281">
        <v>1</v>
      </c>
      <c r="F281" s="5">
        <v>44699</v>
      </c>
      <c r="G281" s="7">
        <v>0.41145833333333331</v>
      </c>
      <c r="H281" t="s">
        <v>15</v>
      </c>
      <c r="I281" t="s">
        <v>16</v>
      </c>
      <c r="L281" t="str">
        <f>IF(C281=0,H281,IF(C281=1,I281,IF(C281=2,J281,IF(C281=3,K281))))</f>
        <v>orange_pencil.jpg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3</v>
      </c>
      <c r="P281">
        <f t="shared" ref="P281" si="561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2</v>
      </c>
      <c r="Q281">
        <f t="shared" ref="Q281" si="562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0</v>
      </c>
      <c r="R281">
        <f t="shared" ref="R281" si="563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64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3</v>
      </c>
    </row>
    <row r="282" spans="1:19" hidden="1" x14ac:dyDescent="0.25">
      <c r="A282">
        <v>58</v>
      </c>
      <c r="B282">
        <v>12</v>
      </c>
      <c r="C282">
        <v>0</v>
      </c>
      <c r="F282" s="5">
        <v>44699</v>
      </c>
      <c r="G282" s="1">
        <v>0.41163194444444445</v>
      </c>
    </row>
    <row r="283" spans="1:19" x14ac:dyDescent="0.25">
      <c r="A283">
        <v>75</v>
      </c>
      <c r="B283">
        <v>12</v>
      </c>
      <c r="C283">
        <v>0</v>
      </c>
      <c r="D283">
        <v>0</v>
      </c>
      <c r="F283" s="5">
        <v>44699</v>
      </c>
      <c r="G283" s="7">
        <v>0.41182870370370367</v>
      </c>
      <c r="H283" t="s">
        <v>16</v>
      </c>
      <c r="I283" t="s">
        <v>14</v>
      </c>
      <c r="L283" t="str">
        <f>IF(C283=0,H283,IF(C283=1,I283,IF(C283=2,J283,IF(C283=3,K283))))</f>
        <v>red_pencil.jpg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2</v>
      </c>
      <c r="P283">
        <f t="shared" ref="P283" si="565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4</v>
      </c>
      <c r="Q283">
        <f t="shared" ref="Q283" si="566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0</v>
      </c>
      <c r="R283">
        <f t="shared" ref="R283" si="567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8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2</v>
      </c>
    </row>
    <row r="284" spans="1:19" hidden="1" x14ac:dyDescent="0.25">
      <c r="A284">
        <v>85</v>
      </c>
      <c r="B284">
        <v>12</v>
      </c>
      <c r="C284">
        <v>0</v>
      </c>
      <c r="F284" s="5">
        <v>44699</v>
      </c>
      <c r="G284" s="1">
        <v>0.41194444444444445</v>
      </c>
    </row>
    <row r="285" spans="1:19" x14ac:dyDescent="0.25">
      <c r="A285">
        <v>89</v>
      </c>
      <c r="B285">
        <v>12</v>
      </c>
      <c r="C285">
        <v>0</v>
      </c>
      <c r="D285">
        <v>1</v>
      </c>
      <c r="F285" s="5">
        <v>44699</v>
      </c>
      <c r="G285" s="7">
        <v>0.4120138888888889</v>
      </c>
      <c r="H285" t="s">
        <v>15</v>
      </c>
      <c r="I285" t="s">
        <v>17</v>
      </c>
      <c r="L285" t="str">
        <f>IF(C285=0,H285,IF(C285=1,I285,IF(C285=2,J285,IF(C285=3,K285))))</f>
        <v>orange_pencil.jpg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3</v>
      </c>
      <c r="P285">
        <f t="shared" ref="P285" si="569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1</v>
      </c>
      <c r="Q285">
        <f t="shared" ref="Q285" si="570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0</v>
      </c>
      <c r="R285">
        <f t="shared" ref="R285" si="571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72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3</v>
      </c>
    </row>
    <row r="286" spans="1:19" hidden="1" x14ac:dyDescent="0.25">
      <c r="A286">
        <v>100</v>
      </c>
      <c r="B286">
        <v>12</v>
      </c>
      <c r="C286">
        <v>0</v>
      </c>
      <c r="F286" s="5">
        <v>44699</v>
      </c>
      <c r="G286" s="1">
        <v>0.41214120370370372</v>
      </c>
    </row>
    <row r="287" spans="1:19" x14ac:dyDescent="0.25">
      <c r="A287">
        <v>123</v>
      </c>
      <c r="B287">
        <v>12</v>
      </c>
      <c r="C287">
        <v>0</v>
      </c>
      <c r="D287">
        <v>1</v>
      </c>
      <c r="F287" s="5">
        <v>44699</v>
      </c>
      <c r="G287" s="7">
        <v>0.41240740740740739</v>
      </c>
      <c r="H287" t="s">
        <v>14</v>
      </c>
      <c r="I287" t="s">
        <v>17</v>
      </c>
      <c r="J287" t="s">
        <v>16</v>
      </c>
      <c r="L287" t="str">
        <f>IF(C287=0,H287,IF(C287=1,I287,IF(C287=2,J287,IF(C287=3,K287))))</f>
        <v>blue_pencil.jpg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4</v>
      </c>
      <c r="P287">
        <f t="shared" ref="P287" si="573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1</v>
      </c>
      <c r="Q287">
        <f t="shared" ref="Q287" si="574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2</v>
      </c>
      <c r="R287">
        <f t="shared" ref="R287" si="575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76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4</v>
      </c>
    </row>
    <row r="288" spans="1:19" hidden="1" x14ac:dyDescent="0.25">
      <c r="A288">
        <v>134</v>
      </c>
      <c r="B288">
        <v>12</v>
      </c>
      <c r="C288">
        <v>0</v>
      </c>
      <c r="F288" s="5">
        <v>44699</v>
      </c>
      <c r="G288" s="1">
        <v>0.41252314814814817</v>
      </c>
    </row>
    <row r="289" spans="1:19" x14ac:dyDescent="0.25">
      <c r="A289">
        <v>143</v>
      </c>
      <c r="B289">
        <v>12</v>
      </c>
      <c r="C289">
        <v>0</v>
      </c>
      <c r="D289">
        <v>1</v>
      </c>
      <c r="F289" s="5">
        <v>44699</v>
      </c>
      <c r="G289" s="7">
        <v>0.41259259259259262</v>
      </c>
      <c r="H289" t="s">
        <v>14</v>
      </c>
      <c r="I289" t="s">
        <v>15</v>
      </c>
      <c r="L289" t="str">
        <f>IF(C289=0,H289,IF(C289=1,I289,IF(C289=2,J289,IF(C289=3,K289))))</f>
        <v>blue_pencil.jpg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4</v>
      </c>
      <c r="P289">
        <f t="shared" ref="P289" si="577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3</v>
      </c>
      <c r="Q289">
        <f t="shared" ref="Q289" si="578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0</v>
      </c>
      <c r="R289">
        <f t="shared" ref="R289" si="579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80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4</v>
      </c>
    </row>
    <row r="290" spans="1:19" hidden="1" x14ac:dyDescent="0.25">
      <c r="A290">
        <v>153</v>
      </c>
      <c r="B290">
        <v>12</v>
      </c>
      <c r="C290">
        <v>0</v>
      </c>
      <c r="F290" s="5">
        <v>44699</v>
      </c>
      <c r="G290" s="1">
        <v>0.41270833333333329</v>
      </c>
    </row>
    <row r="291" spans="1:19" x14ac:dyDescent="0.25">
      <c r="A291">
        <v>157</v>
      </c>
      <c r="B291">
        <v>12</v>
      </c>
      <c r="C291">
        <v>0</v>
      </c>
      <c r="D291">
        <v>0</v>
      </c>
      <c r="F291" s="5">
        <v>44699</v>
      </c>
      <c r="G291" s="7">
        <v>0.41274305555555557</v>
      </c>
      <c r="H291" t="s">
        <v>17</v>
      </c>
      <c r="I291" t="s">
        <v>14</v>
      </c>
      <c r="L291" t="str">
        <f>IF(C291=0,H291,IF(C291=1,I291,IF(C291=2,J291,IF(C291=3,K291))))</f>
        <v>yellow_pencil.jpg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1</v>
      </c>
      <c r="P291">
        <f t="shared" ref="P291" si="581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4</v>
      </c>
      <c r="Q291">
        <f t="shared" ref="Q291" si="582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0</v>
      </c>
      <c r="R291">
        <f t="shared" ref="R291" si="583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84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1</v>
      </c>
    </row>
    <row r="292" spans="1:19" hidden="1" x14ac:dyDescent="0.25">
      <c r="A292">
        <v>167</v>
      </c>
      <c r="B292">
        <v>12</v>
      </c>
      <c r="C292">
        <v>0</v>
      </c>
      <c r="F292" s="5">
        <v>44699</v>
      </c>
      <c r="G292" s="1">
        <v>0.4128472222222222</v>
      </c>
    </row>
    <row r="293" spans="1:19" x14ac:dyDescent="0.25">
      <c r="A293">
        <v>178</v>
      </c>
      <c r="B293">
        <v>12</v>
      </c>
      <c r="C293">
        <v>0</v>
      </c>
      <c r="D293">
        <v>2</v>
      </c>
      <c r="F293" s="5">
        <v>44699</v>
      </c>
      <c r="G293" s="7">
        <v>0.41298611111111111</v>
      </c>
      <c r="H293" t="s">
        <v>14</v>
      </c>
      <c r="I293" t="s">
        <v>15</v>
      </c>
      <c r="J293" t="s">
        <v>17</v>
      </c>
      <c r="K293" t="s">
        <v>16</v>
      </c>
      <c r="L293" t="str">
        <f>IF(C293=0,H293,IF(C293=1,I293,IF(C293=2,J293,IF(C293=3,K293))))</f>
        <v>blue_pencil.jpg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4</v>
      </c>
      <c r="P293">
        <f t="shared" ref="P293" si="585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3</v>
      </c>
      <c r="Q293">
        <f t="shared" ref="Q293" si="586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1</v>
      </c>
      <c r="R293">
        <f t="shared" ref="R293" si="587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2</v>
      </c>
      <c r="S293">
        <f t="shared" ref="S293" si="588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4</v>
      </c>
    </row>
    <row r="294" spans="1:19" hidden="1" x14ac:dyDescent="0.25">
      <c r="A294">
        <v>186</v>
      </c>
      <c r="B294">
        <v>12</v>
      </c>
      <c r="C294">
        <v>0</v>
      </c>
      <c r="F294" s="5">
        <v>44699</v>
      </c>
      <c r="G294" s="1">
        <v>0.41309027777777779</v>
      </c>
    </row>
    <row r="295" spans="1:19" x14ac:dyDescent="0.25">
      <c r="A295">
        <v>196</v>
      </c>
      <c r="B295">
        <v>12</v>
      </c>
      <c r="C295">
        <v>0</v>
      </c>
      <c r="D295">
        <v>0</v>
      </c>
      <c r="F295" s="5">
        <v>44699</v>
      </c>
      <c r="G295" s="7">
        <v>0.41318287037037038</v>
      </c>
      <c r="H295" t="s">
        <v>17</v>
      </c>
      <c r="I295" t="s">
        <v>15</v>
      </c>
      <c r="J295" t="s">
        <v>16</v>
      </c>
      <c r="L295" t="str">
        <f>IF(C295=0,H295,IF(C295=1,I295,IF(C295=2,J295,IF(C295=3,K295))))</f>
        <v>yellow_pencil.jpg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1</v>
      </c>
      <c r="P295">
        <f t="shared" ref="P295" si="589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3</v>
      </c>
      <c r="Q295">
        <f t="shared" ref="Q295" si="590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2</v>
      </c>
      <c r="R295">
        <f t="shared" ref="R295" si="591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92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1</v>
      </c>
    </row>
    <row r="296" spans="1:19" hidden="1" x14ac:dyDescent="0.25">
      <c r="A296">
        <v>207</v>
      </c>
      <c r="B296">
        <v>12</v>
      </c>
      <c r="C296">
        <v>0</v>
      </c>
      <c r="F296" s="5">
        <v>44699</v>
      </c>
      <c r="G296" s="1">
        <v>0.41328703703703701</v>
      </c>
    </row>
    <row r="297" spans="1:19" x14ac:dyDescent="0.25">
      <c r="A297">
        <v>212</v>
      </c>
      <c r="B297">
        <v>12</v>
      </c>
      <c r="C297">
        <v>0</v>
      </c>
      <c r="D297">
        <v>1</v>
      </c>
      <c r="F297" s="5">
        <v>44699</v>
      </c>
      <c r="G297" s="7">
        <v>0.41333333333333333</v>
      </c>
      <c r="H297" t="s">
        <v>14</v>
      </c>
      <c r="I297" t="s">
        <v>16</v>
      </c>
      <c r="J297" t="s">
        <v>15</v>
      </c>
      <c r="L297" t="str">
        <f>IF(C297=0,H297,IF(C297=1,I297,IF(C297=2,J297,IF(C297=3,K297))))</f>
        <v>blue_pencil.jpg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4</v>
      </c>
      <c r="P297">
        <f t="shared" ref="P297" si="593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2</v>
      </c>
      <c r="Q297">
        <f t="shared" ref="Q297" si="594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3</v>
      </c>
      <c r="R297">
        <f t="shared" ref="R297" si="595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96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4</v>
      </c>
    </row>
    <row r="298" spans="1:19" hidden="1" x14ac:dyDescent="0.25">
      <c r="A298">
        <v>224</v>
      </c>
      <c r="B298">
        <v>12</v>
      </c>
      <c r="C298">
        <v>0</v>
      </c>
      <c r="F298" s="5">
        <v>44699</v>
      </c>
      <c r="G298" s="1">
        <v>0.41346064814814815</v>
      </c>
    </row>
    <row r="299" spans="1:19" x14ac:dyDescent="0.25">
      <c r="A299">
        <v>235</v>
      </c>
      <c r="B299">
        <v>12</v>
      </c>
      <c r="C299">
        <v>0</v>
      </c>
      <c r="D299">
        <v>0</v>
      </c>
      <c r="F299" s="5">
        <v>44699</v>
      </c>
      <c r="G299" s="7">
        <v>0.41356481481481483</v>
      </c>
      <c r="H299" t="s">
        <v>17</v>
      </c>
      <c r="I299" t="s">
        <v>16</v>
      </c>
      <c r="L299" t="str">
        <f>IF(C299=0,H299,IF(C299=1,I299,IF(C299=2,J299,IF(C299=3,K299))))</f>
        <v>yellow_pencil.jpg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1</v>
      </c>
      <c r="P299">
        <f t="shared" ref="P299" si="597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2</v>
      </c>
      <c r="Q299">
        <f t="shared" ref="Q299" si="598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0</v>
      </c>
      <c r="R299">
        <f t="shared" ref="R299" si="599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600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1</v>
      </c>
    </row>
    <row r="300" spans="1:19" hidden="1" x14ac:dyDescent="0.25">
      <c r="A300">
        <v>245</v>
      </c>
      <c r="B300">
        <v>12</v>
      </c>
      <c r="C300">
        <v>1</v>
      </c>
      <c r="F300" s="5">
        <v>44699</v>
      </c>
      <c r="G300" s="1">
        <v>0.41369212962962965</v>
      </c>
    </row>
    <row r="301" spans="1:19" x14ac:dyDescent="0.25">
      <c r="A301">
        <v>268</v>
      </c>
      <c r="B301">
        <v>12</v>
      </c>
      <c r="C301">
        <v>1</v>
      </c>
      <c r="D301">
        <v>0</v>
      </c>
      <c r="F301" s="5">
        <v>44699</v>
      </c>
      <c r="G301" s="7">
        <v>0.41398148148148151</v>
      </c>
      <c r="H301" t="s">
        <v>13</v>
      </c>
      <c r="I301" t="s">
        <v>11</v>
      </c>
      <c r="L301" t="str">
        <f>IF(C301=0,H301,IF(C301=1,I301,IF(C301=2,J301,IF(C301=3,K301))))</f>
        <v>red_pen.jpg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5</v>
      </c>
      <c r="P301">
        <f t="shared" ref="P301" si="601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6</v>
      </c>
      <c r="Q301">
        <f t="shared" ref="Q301" si="602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0</v>
      </c>
      <c r="R301">
        <f t="shared" ref="R301" si="603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604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6</v>
      </c>
    </row>
    <row r="302" spans="1:19" hidden="1" x14ac:dyDescent="0.25">
      <c r="A302">
        <v>279</v>
      </c>
      <c r="B302">
        <v>12</v>
      </c>
      <c r="C302">
        <v>1</v>
      </c>
      <c r="F302" s="5">
        <v>44699</v>
      </c>
      <c r="G302" s="1">
        <v>0.41408564814814813</v>
      </c>
    </row>
    <row r="303" spans="1:19" x14ac:dyDescent="0.25">
      <c r="A303">
        <v>286</v>
      </c>
      <c r="B303">
        <v>12</v>
      </c>
      <c r="C303">
        <v>1</v>
      </c>
      <c r="D303">
        <v>0</v>
      </c>
      <c r="F303" s="5">
        <v>44699</v>
      </c>
      <c r="G303" s="7">
        <v>0.41416666666666663</v>
      </c>
      <c r="H303" t="s">
        <v>13</v>
      </c>
      <c r="I303" t="s">
        <v>9</v>
      </c>
      <c r="J303" t="s">
        <v>11</v>
      </c>
      <c r="K303" t="s">
        <v>10</v>
      </c>
      <c r="L303" t="str">
        <f>IF(C303=0,H303,IF(C303=1,I303,IF(C303=2,J303,IF(C303=3,K303))))</f>
        <v>green_pen.jpg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5</v>
      </c>
      <c r="P303">
        <f t="shared" ref="P303" si="605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8</v>
      </c>
      <c r="Q303">
        <f t="shared" ref="Q303" si="606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6</v>
      </c>
      <c r="R303">
        <f t="shared" ref="R303" si="607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7</v>
      </c>
      <c r="S303">
        <f t="shared" ref="S303" si="608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8</v>
      </c>
    </row>
    <row r="304" spans="1:19" hidden="1" x14ac:dyDescent="0.25">
      <c r="A304">
        <v>303</v>
      </c>
      <c r="B304">
        <v>12</v>
      </c>
      <c r="C304">
        <v>1</v>
      </c>
      <c r="F304" s="5">
        <v>44699</v>
      </c>
      <c r="G304" s="1">
        <v>0.41437499999999999</v>
      </c>
    </row>
    <row r="305" spans="1:19" x14ac:dyDescent="0.25">
      <c r="A305">
        <v>309</v>
      </c>
      <c r="B305">
        <v>12</v>
      </c>
      <c r="C305">
        <v>1</v>
      </c>
      <c r="D305">
        <v>2</v>
      </c>
      <c r="F305" s="5">
        <v>44699</v>
      </c>
      <c r="G305" s="7">
        <v>0.41443287037037035</v>
      </c>
      <c r="H305" t="s">
        <v>9</v>
      </c>
      <c r="I305" t="s">
        <v>10</v>
      </c>
      <c r="J305" t="s">
        <v>13</v>
      </c>
      <c r="L305" t="str">
        <f>IF(C305=0,H305,IF(C305=1,I305,IF(C305=2,J305,IF(C305=3,K305))))</f>
        <v>blue_pen.jpg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8</v>
      </c>
      <c r="P305">
        <f t="shared" ref="P305" si="609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7</v>
      </c>
      <c r="Q305">
        <f t="shared" ref="Q305" si="610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5</v>
      </c>
      <c r="R305">
        <f t="shared" ref="R305" si="611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12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7</v>
      </c>
    </row>
    <row r="306" spans="1:19" hidden="1" x14ac:dyDescent="0.25">
      <c r="A306">
        <v>320</v>
      </c>
      <c r="B306">
        <v>12</v>
      </c>
      <c r="C306">
        <v>1</v>
      </c>
      <c r="F306" s="5">
        <v>44699</v>
      </c>
      <c r="G306" s="1">
        <v>0.41456018518518517</v>
      </c>
    </row>
    <row r="307" spans="1:19" x14ac:dyDescent="0.25">
      <c r="A307">
        <v>328</v>
      </c>
      <c r="B307">
        <v>12</v>
      </c>
      <c r="C307">
        <v>1</v>
      </c>
      <c r="D307">
        <v>0</v>
      </c>
      <c r="F307" s="5">
        <v>44699</v>
      </c>
      <c r="G307" s="7">
        <v>0.41464120370370372</v>
      </c>
      <c r="H307" t="s">
        <v>13</v>
      </c>
      <c r="I307" t="s">
        <v>11</v>
      </c>
      <c r="J307" t="s">
        <v>9</v>
      </c>
      <c r="L307" t="str">
        <f>IF(C307=0,H307,IF(C307=1,I307,IF(C307=2,J307,IF(C307=3,K307))))</f>
        <v>red_pen.jpg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5</v>
      </c>
      <c r="P307">
        <f t="shared" ref="P307" si="613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6</v>
      </c>
      <c r="Q307">
        <f t="shared" ref="Q307" si="614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8</v>
      </c>
      <c r="R307">
        <f t="shared" ref="R307" si="615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16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6</v>
      </c>
    </row>
    <row r="308" spans="1:19" hidden="1" x14ac:dyDescent="0.25">
      <c r="A308">
        <v>336</v>
      </c>
      <c r="B308">
        <v>12</v>
      </c>
      <c r="C308">
        <v>1</v>
      </c>
      <c r="F308" s="5">
        <v>44699</v>
      </c>
      <c r="G308" s="1">
        <v>0.41473379629629631</v>
      </c>
    </row>
    <row r="309" spans="1:19" x14ac:dyDescent="0.25">
      <c r="A309">
        <v>340</v>
      </c>
      <c r="B309">
        <v>12</v>
      </c>
      <c r="C309">
        <v>1</v>
      </c>
      <c r="D309">
        <v>1</v>
      </c>
      <c r="F309" s="5">
        <v>44699</v>
      </c>
      <c r="G309" s="7">
        <v>0.41478009259259258</v>
      </c>
      <c r="H309" t="s">
        <v>11</v>
      </c>
      <c r="I309" t="s">
        <v>13</v>
      </c>
      <c r="J309" t="s">
        <v>10</v>
      </c>
      <c r="L309" t="str">
        <f>IF(C309=0,H309,IF(C309=1,I309,IF(C309=2,J309,IF(C309=3,K309))))</f>
        <v>yellow_pen.jpg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6</v>
      </c>
      <c r="P309">
        <f t="shared" ref="P309" si="617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5</v>
      </c>
      <c r="Q309">
        <f t="shared" ref="Q309" si="618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7</v>
      </c>
      <c r="R309">
        <f t="shared" ref="R309" si="619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20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5</v>
      </c>
    </row>
    <row r="310" spans="1:19" hidden="1" x14ac:dyDescent="0.25">
      <c r="A310">
        <v>347</v>
      </c>
      <c r="B310">
        <v>12</v>
      </c>
      <c r="C310">
        <v>1</v>
      </c>
      <c r="F310" s="5">
        <v>44699</v>
      </c>
      <c r="G310" s="1">
        <v>0.4148958333333333</v>
      </c>
    </row>
    <row r="311" spans="1:19" x14ac:dyDescent="0.25">
      <c r="A311">
        <v>356</v>
      </c>
      <c r="B311">
        <v>12</v>
      </c>
      <c r="C311">
        <v>1</v>
      </c>
      <c r="D311">
        <v>0</v>
      </c>
      <c r="F311" s="5">
        <v>44699</v>
      </c>
      <c r="G311" s="7">
        <v>0.4151157407407407</v>
      </c>
      <c r="H311" t="s">
        <v>10</v>
      </c>
      <c r="I311" t="s">
        <v>9</v>
      </c>
      <c r="J311" t="s">
        <v>11</v>
      </c>
      <c r="L311" t="str">
        <f>IF(C311=0,H311,IF(C311=1,I311,IF(C311=2,J311,IF(C311=3,K311))))</f>
        <v>green_pen.jpg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7</v>
      </c>
      <c r="P311">
        <f t="shared" ref="P311" si="621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8</v>
      </c>
      <c r="Q311">
        <f t="shared" ref="Q311" si="622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6</v>
      </c>
      <c r="R311">
        <f t="shared" ref="R311" si="623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24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8</v>
      </c>
    </row>
    <row r="312" spans="1:19" hidden="1" x14ac:dyDescent="0.25">
      <c r="A312">
        <v>362</v>
      </c>
      <c r="B312">
        <v>12</v>
      </c>
      <c r="C312">
        <v>1</v>
      </c>
      <c r="F312" s="5">
        <v>44699</v>
      </c>
      <c r="G312" s="1">
        <v>0.41524305555555557</v>
      </c>
    </row>
    <row r="313" spans="1:19" x14ac:dyDescent="0.25">
      <c r="A313">
        <v>365</v>
      </c>
      <c r="B313">
        <v>12</v>
      </c>
      <c r="C313">
        <v>1</v>
      </c>
      <c r="D313">
        <v>0</v>
      </c>
      <c r="F313" s="5">
        <v>44699</v>
      </c>
      <c r="G313" s="7">
        <v>0.41540509259259256</v>
      </c>
      <c r="H313" t="s">
        <v>10</v>
      </c>
      <c r="I313" t="s">
        <v>9</v>
      </c>
      <c r="L313" t="str">
        <f>IF(C313=0,H313,IF(C313=1,I313,IF(C313=2,J313,IF(C313=3,K313))))</f>
        <v>green_pen.jpg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7</v>
      </c>
      <c r="P313">
        <f t="shared" ref="P313" si="625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8</v>
      </c>
      <c r="Q313">
        <f t="shared" ref="Q313" si="626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0</v>
      </c>
      <c r="R313">
        <f t="shared" ref="R313" si="627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8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8</v>
      </c>
    </row>
    <row r="314" spans="1:19" hidden="1" x14ac:dyDescent="0.25">
      <c r="A314">
        <v>368</v>
      </c>
      <c r="B314">
        <v>12</v>
      </c>
      <c r="C314">
        <v>1</v>
      </c>
      <c r="F314" s="5">
        <v>44699</v>
      </c>
      <c r="G314" s="1">
        <v>0.41552083333333334</v>
      </c>
    </row>
    <row r="315" spans="1:19" x14ac:dyDescent="0.25">
      <c r="A315">
        <v>370</v>
      </c>
      <c r="B315">
        <v>12</v>
      </c>
      <c r="C315">
        <v>1</v>
      </c>
      <c r="D315">
        <v>0</v>
      </c>
      <c r="F315" s="5">
        <v>44699</v>
      </c>
      <c r="G315" s="7">
        <v>0.41564814814814816</v>
      </c>
      <c r="H315" t="s">
        <v>10</v>
      </c>
      <c r="I315" t="s">
        <v>11</v>
      </c>
      <c r="L315" t="str">
        <f>IF(C315=0,H315,IF(C315=1,I315,IF(C315=2,J315,IF(C315=3,K315))))</f>
        <v>red_pen.jpg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7</v>
      </c>
      <c r="P315">
        <f t="shared" ref="P315" si="629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6</v>
      </c>
      <c r="Q315">
        <f t="shared" ref="Q315" si="630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0</v>
      </c>
      <c r="R315">
        <f t="shared" ref="R315" si="631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32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6</v>
      </c>
    </row>
    <row r="316" spans="1:19" hidden="1" x14ac:dyDescent="0.25">
      <c r="A316">
        <v>372</v>
      </c>
      <c r="B316">
        <v>12</v>
      </c>
      <c r="C316">
        <v>1</v>
      </c>
      <c r="F316" s="5">
        <v>44699</v>
      </c>
      <c r="G316" s="1">
        <v>0.41583333333333333</v>
      </c>
    </row>
    <row r="317" spans="1:19" x14ac:dyDescent="0.25">
      <c r="A317">
        <v>373</v>
      </c>
      <c r="B317">
        <v>12</v>
      </c>
      <c r="C317">
        <v>1</v>
      </c>
      <c r="D317">
        <v>0</v>
      </c>
      <c r="F317" s="5">
        <v>44699</v>
      </c>
      <c r="G317" s="7">
        <v>0.41599537037037032</v>
      </c>
      <c r="H317" t="s">
        <v>13</v>
      </c>
      <c r="I317" t="s">
        <v>10</v>
      </c>
      <c r="L317" t="str">
        <f>IF(C317=0,H317,IF(C317=1,I317,IF(C317=2,J317,IF(C317=3,K317))))</f>
        <v>blue_pen.jpg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5</v>
      </c>
      <c r="P317">
        <f t="shared" ref="P317" si="633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7</v>
      </c>
      <c r="Q317">
        <f t="shared" ref="Q317" si="634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0</v>
      </c>
      <c r="R317">
        <f t="shared" ref="R317" si="635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36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7</v>
      </c>
    </row>
    <row r="318" spans="1:19" hidden="1" x14ac:dyDescent="0.25">
      <c r="A318">
        <v>374</v>
      </c>
      <c r="B318">
        <v>12</v>
      </c>
      <c r="C318">
        <v>1</v>
      </c>
      <c r="F318" s="5">
        <v>44699</v>
      </c>
      <c r="G318" s="1">
        <v>0.41612268518518519</v>
      </c>
    </row>
    <row r="319" spans="1:19" x14ac:dyDescent="0.25">
      <c r="A319">
        <v>375</v>
      </c>
      <c r="B319">
        <v>12</v>
      </c>
      <c r="C319">
        <v>1</v>
      </c>
      <c r="D319">
        <v>0</v>
      </c>
      <c r="F319" s="5">
        <v>44699</v>
      </c>
      <c r="G319" s="7">
        <v>0.41626157407407405</v>
      </c>
      <c r="H319" t="s">
        <v>11</v>
      </c>
      <c r="I319" t="s">
        <v>9</v>
      </c>
      <c r="L319" t="str">
        <f>IF(C319=0,H319,IF(C319=1,I319,IF(C319=2,J319,IF(C319=3,K319))))</f>
        <v>green_pen.jpg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6</v>
      </c>
      <c r="P319">
        <f t="shared" ref="P319" si="637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8</v>
      </c>
      <c r="Q319">
        <f t="shared" ref="Q319" si="638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0</v>
      </c>
      <c r="R319">
        <f t="shared" ref="R319" si="639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40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8</v>
      </c>
    </row>
    <row r="320" spans="1:19" hidden="1" x14ac:dyDescent="0.25">
      <c r="A320">
        <v>376</v>
      </c>
      <c r="B320">
        <v>12</v>
      </c>
      <c r="C320">
        <v>1</v>
      </c>
      <c r="F320" s="5">
        <v>44699</v>
      </c>
      <c r="G320" s="1">
        <v>0.41638888888888892</v>
      </c>
    </row>
    <row r="321" spans="1:19" x14ac:dyDescent="0.25">
      <c r="A321">
        <v>377</v>
      </c>
      <c r="B321">
        <v>12</v>
      </c>
      <c r="C321">
        <v>1</v>
      </c>
      <c r="D321">
        <v>0</v>
      </c>
      <c r="F321" s="5">
        <v>44699</v>
      </c>
      <c r="G321" s="7">
        <v>0.41642361111111109</v>
      </c>
      <c r="H321" t="s">
        <v>13</v>
      </c>
      <c r="I321" t="s">
        <v>9</v>
      </c>
      <c r="L321" t="str">
        <f>IF(C321=0,H321,IF(C321=1,I321,IF(C321=2,J321,IF(C321=3,K321))))</f>
        <v>green_pen.jpg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5</v>
      </c>
      <c r="P321">
        <f t="shared" ref="P321" si="641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8</v>
      </c>
      <c r="Q321">
        <f t="shared" ref="Q321" si="642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0</v>
      </c>
      <c r="R321">
        <f t="shared" ref="R321" si="643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44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8</v>
      </c>
    </row>
    <row r="322" spans="1:19" hidden="1" x14ac:dyDescent="0.25">
      <c r="A322">
        <v>378</v>
      </c>
      <c r="B322">
        <v>12</v>
      </c>
      <c r="C322">
        <v>2</v>
      </c>
      <c r="F322" s="5">
        <v>44699</v>
      </c>
      <c r="G322" s="1">
        <v>0.41652777777777777</v>
      </c>
    </row>
    <row r="323" spans="1:19" x14ac:dyDescent="0.25">
      <c r="A323">
        <v>379</v>
      </c>
      <c r="B323">
        <v>12</v>
      </c>
      <c r="C323">
        <v>2</v>
      </c>
      <c r="D323">
        <v>0</v>
      </c>
      <c r="F323" s="5">
        <v>44699</v>
      </c>
      <c r="G323" s="7">
        <v>0.41682870370370373</v>
      </c>
      <c r="H323" t="s">
        <v>19</v>
      </c>
      <c r="I323" t="s">
        <v>21</v>
      </c>
      <c r="J323" t="s">
        <v>18</v>
      </c>
      <c r="K323" t="s">
        <v>20</v>
      </c>
      <c r="L323" t="str">
        <f t="shared" ref="L323:L324" si="645">IF(C323=0,H323,IF(C323=1,I323,IF(C323=2,J323,IF(C323=3,K323))))</f>
        <v>pen4.jpg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10</v>
      </c>
      <c r="P323">
        <f t="shared" ref="P323" si="646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9</v>
      </c>
      <c r="Q323">
        <f t="shared" ref="Q323" si="647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12</v>
      </c>
      <c r="R323">
        <f t="shared" ref="R323" si="648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11</v>
      </c>
      <c r="S323">
        <f t="shared" ref="S323" si="649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12</v>
      </c>
    </row>
    <row r="324" spans="1:19" hidden="1" x14ac:dyDescent="0.25">
      <c r="G324"/>
      <c r="L324">
        <f t="shared" si="645"/>
        <v>0</v>
      </c>
    </row>
  </sheetData>
  <autoFilter ref="A1:I324" xr:uid="{00000000-0009-0000-0000-000001000000}">
    <filterColumn colId="3">
      <customFilters>
        <customFilter operator="notEqual" val=" "/>
      </custom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FDFD5-03C7-4FCA-A5C7-1C164659EE5F}">
  <dimension ref="A1:I8"/>
  <sheetViews>
    <sheetView tabSelected="1" workbookViewId="0">
      <selection activeCell="H26" sqref="H26"/>
    </sheetView>
  </sheetViews>
  <sheetFormatPr defaultRowHeight="15" x14ac:dyDescent="0.25"/>
  <cols>
    <col min="4" max="4" width="13.42578125" customWidth="1"/>
  </cols>
  <sheetData>
    <row r="1" spans="1:9" x14ac:dyDescent="0.25">
      <c r="A1" t="s">
        <v>0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</row>
    <row r="2" spans="1:9" x14ac:dyDescent="0.25">
      <c r="A2">
        <v>2</v>
      </c>
      <c r="D2" t="s">
        <v>68</v>
      </c>
      <c r="E2" t="s">
        <v>64</v>
      </c>
      <c r="H2" t="s">
        <v>65</v>
      </c>
      <c r="I2" s="1">
        <v>3.5509259259259261E-2</v>
      </c>
    </row>
    <row r="3" spans="1:9" x14ac:dyDescent="0.25">
      <c r="A3">
        <v>3</v>
      </c>
      <c r="D3" t="s">
        <v>68</v>
      </c>
      <c r="E3" t="s">
        <v>64</v>
      </c>
      <c r="H3" t="s">
        <v>66</v>
      </c>
      <c r="I3" s="1">
        <v>3.5553240740740739E-2</v>
      </c>
    </row>
    <row r="4" spans="1:9" x14ac:dyDescent="0.25">
      <c r="A4">
        <v>4</v>
      </c>
      <c r="D4" t="s">
        <v>68</v>
      </c>
      <c r="E4" t="s">
        <v>64</v>
      </c>
      <c r="H4" t="s">
        <v>66</v>
      </c>
      <c r="I4" s="1">
        <v>3.5559027777777773E-2</v>
      </c>
    </row>
    <row r="5" spans="1:9" x14ac:dyDescent="0.25">
      <c r="A5">
        <v>5</v>
      </c>
      <c r="D5" t="s">
        <v>68</v>
      </c>
      <c r="E5" t="s">
        <v>64</v>
      </c>
      <c r="H5" t="s">
        <v>66</v>
      </c>
      <c r="I5" s="1">
        <v>3.5560185185185181E-2</v>
      </c>
    </row>
    <row r="6" spans="1:9" x14ac:dyDescent="0.25">
      <c r="A6">
        <v>6</v>
      </c>
      <c r="D6" t="s">
        <v>68</v>
      </c>
      <c r="E6" t="s">
        <v>64</v>
      </c>
      <c r="H6" t="s">
        <v>66</v>
      </c>
      <c r="I6" s="1">
        <v>3.5562500000000004E-2</v>
      </c>
    </row>
    <row r="7" spans="1:9" x14ac:dyDescent="0.25">
      <c r="A7">
        <v>7</v>
      </c>
      <c r="D7" t="s">
        <v>68</v>
      </c>
      <c r="E7" t="s">
        <v>64</v>
      </c>
      <c r="H7" t="s">
        <v>65</v>
      </c>
      <c r="I7" s="1">
        <v>3.5562500000000004E-2</v>
      </c>
    </row>
    <row r="8" spans="1:9" x14ac:dyDescent="0.25">
      <c r="A8">
        <v>12</v>
      </c>
      <c r="D8" t="s">
        <v>68</v>
      </c>
      <c r="E8" t="s">
        <v>64</v>
      </c>
      <c r="H8" t="s">
        <v>66</v>
      </c>
      <c r="I8" s="1">
        <v>3.5599537037037041E-2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4"/>
  <sheetViews>
    <sheetView workbookViewId="0">
      <selection activeCell="L55" sqref="L55"/>
    </sheetView>
  </sheetViews>
  <sheetFormatPr defaultRowHeight="15" x14ac:dyDescent="0.25"/>
  <cols>
    <col min="6" max="6" width="10.5703125" bestFit="1" customWidth="1"/>
  </cols>
  <sheetData>
    <row r="1" spans="1:19" x14ac:dyDescent="0.25">
      <c r="A1">
        <v>7</v>
      </c>
      <c r="B1">
        <v>1</v>
      </c>
      <c r="C1">
        <v>0</v>
      </c>
      <c r="D1">
        <v>1</v>
      </c>
      <c r="F1" s="5">
        <v>44699</v>
      </c>
      <c r="G1" s="7">
        <v>0.41081018518518514</v>
      </c>
      <c r="H1" t="s">
        <v>9</v>
      </c>
      <c r="I1" t="s">
        <v>13</v>
      </c>
      <c r="J1" t="s">
        <v>10</v>
      </c>
      <c r="L1" t="str">
        <f>IF(C1=0,H1,IF(C1=1,I1,IF(C1=2,J1,IF(C1=3,K1))))</f>
        <v>green_pen.jpg</v>
      </c>
      <c r="O1">
        <f>IF(H1="yellow_pencil.jpg",1,IF(H1="red_pencil.jpg",2,IF(H1="orange_pencil.jpg",3,IF(H1="blue_pencil.jpg",4,IF(H1="yellow_pen.jpg",5,IF(H1="red_pen.jpg",6,IF(H1="blue_pen.jpg",7,IF(H1="green_pen.jpg",8,IF(H1="pen1.jpg",9,IF(H1="pen2.jpg",10,IF(H1="pen3.jpg",11,IF(H1="pen4.jpg",12,0))))))))))))</f>
        <v>8</v>
      </c>
      <c r="P1">
        <f>IF(I1="yellow_pencil.jpg",1,IF(I1="red_pencil.jpg",2,IF(I1="orange_pencil.jpg",3,IF(I1="blue_pencil.jpg",4,IF(I1="yellow_pen.jpg",5,IF(I1="red_pen.jpg",6,IF(I1="blue_pen.jpg",7,IF(I1="green_pen.jpg",8,IF(I1="pen1.jpg",9,IF(I1="pen2.jpg",10,IF(I1="pen3.jpg",11,IF(I1="pen4.jpg",12,0))))))))))))</f>
        <v>5</v>
      </c>
      <c r="Q1">
        <f>IF(J1="yellow_pencil.jpg",1,IF(J1="red_pencil.jpg",2,IF(J1="orange_pencil.jpg",3,IF(J1="blue_pencil.jpg",4,IF(J1="yellow_pen.jpg",5,IF(J1="red_pen.jpg",6,IF(J1="blue_pen.jpg",7,IF(J1="green_pen.jpg",8,IF(J1="pen1.jpg",9,IF(J1="pen2.jpg",10,IF(J1="pen3.jpg",11,IF(J1="pen4.jpg",12,0))))))))))))</f>
        <v>7</v>
      </c>
      <c r="R1">
        <f>IF(K1="yellow_pencil.jpg",1,IF(K1="red_pencil.jpg",2,IF(K1="orange_pencil.jpg",3,IF(K1="blue_pencil.jpg",4,IF(K1="yellow_pen.jpg",5,IF(K1="red_pen.jpg",6,IF(K1="blue_pen.jpg",7,IF(K1="green_pen.jpg",8,IF(K1="pen1.jpg",9,IF(K1="pen2.jpg",10,IF(K1="pen3.jpg",11,IF(K1="pen4.jpg",12,0))))))))))))</f>
        <v>0</v>
      </c>
      <c r="S1">
        <f>IF(L1="yellow_pencil.jpg",1,IF(L1="red_pencil.jpg",2,IF(L1="orange_pencil.jpg",3,IF(L1="blue_pencil.jpg",4,IF(L1="yellow_pen.jpg",5,IF(L1="red_pen.jpg",6,IF(L1="blue_pen.jpg",7,IF(L1="green_pen.jpg",8,IF(L1="pen1.jpg",9,IF(L1="pen2.jpg",10,IF(L1="pen3.jpg",11,IF(L1="pen4.jpg",12,0))))))))))))</f>
        <v>8</v>
      </c>
    </row>
    <row r="2" spans="1:19" hidden="1" x14ac:dyDescent="0.25">
      <c r="A2">
        <v>11</v>
      </c>
      <c r="B2">
        <v>1</v>
      </c>
      <c r="C2">
        <v>0</v>
      </c>
      <c r="F2" s="5">
        <v>44699</v>
      </c>
      <c r="G2" s="1">
        <v>0.41091435185185188</v>
      </c>
      <c r="O2">
        <v>6</v>
      </c>
      <c r="P2">
        <v>7</v>
      </c>
      <c r="Q2">
        <v>0</v>
      </c>
      <c r="R2">
        <v>0</v>
      </c>
      <c r="S2">
        <v>6</v>
      </c>
    </row>
    <row r="3" spans="1:19" x14ac:dyDescent="0.25">
      <c r="A3">
        <v>17</v>
      </c>
      <c r="B3">
        <v>1</v>
      </c>
      <c r="C3">
        <v>0</v>
      </c>
      <c r="D3">
        <v>0</v>
      </c>
      <c r="F3" s="5">
        <v>44699</v>
      </c>
      <c r="G3" s="7">
        <v>0.41099537037037037</v>
      </c>
      <c r="H3" t="s">
        <v>10</v>
      </c>
      <c r="I3" t="s">
        <v>13</v>
      </c>
      <c r="L3" t="str">
        <f>IF(C3=0,H3,IF(C3=1,I3,IF(C3=2,J3,IF(C3=3,K3))))</f>
        <v>blue_pen.jpg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7</v>
      </c>
      <c r="P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Q3">
        <f>IF(J3="yellow_pencil.jpg",1,IF(J3="red_pencil.jpg",2,IF(J3="orange_pencil.jpg",3,IF(J3="blue_pencil.jpg",4,IF(J3="yellow_pen.jpg",5,IF(J3="red_pen.jpg",6,IF(J3="blue_pen.jpg",7,IF(J3="green_pen.jpg",8,IF(J3="pen1.jpg",9,IF(J3="pen2.jpg",10,IF(J3="pen3.jpg",11,IF(J3="pen4.jpg",12,0))))))))))))</f>
        <v>0</v>
      </c>
      <c r="R3">
        <f>IF(K3="yellow_pencil.jpg",1,IF(K3="red_pencil.jpg",2,IF(K3="orange_pencil.jpg",3,IF(K3="blue_pencil.jpg",4,IF(K3="yellow_pen.jpg",5,IF(K3="red_pen.jpg",6,IF(K3="blue_pen.jpg",7,IF(K3="green_pen.jpg",8,IF(K3="pen1.jpg",9,IF(K3="pen2.jpg",10,IF(K3="pen3.jpg",11,IF(K3="pen4.jpg",12,0))))))))))))</f>
        <v>0</v>
      </c>
      <c r="S3">
        <f>IF(L3="yellow_pencil.jpg",1,IF(L3="red_pencil.jpg",2,IF(L3="orange_pencil.jpg",3,IF(L3="blue_pencil.jpg",4,IF(L3="yellow_pen.jpg",5,IF(L3="red_pen.jpg",6,IF(L3="blue_pen.jpg",7,IF(L3="green_pen.jpg",8,IF(L3="pen1.jpg",9,IF(L3="pen2.jpg",10,IF(L3="pen3.jpg",11,IF(L3="pen4.jpg",12,0))))))))))))</f>
        <v>7</v>
      </c>
    </row>
    <row r="4" spans="1:19" hidden="1" x14ac:dyDescent="0.25">
      <c r="A4">
        <v>21</v>
      </c>
      <c r="B4">
        <v>1</v>
      </c>
      <c r="C4">
        <v>0</v>
      </c>
      <c r="F4" s="5">
        <v>44699</v>
      </c>
      <c r="G4" s="1">
        <v>0.41111111111111115</v>
      </c>
      <c r="O4">
        <v>8</v>
      </c>
      <c r="P4">
        <v>7</v>
      </c>
      <c r="Q4">
        <v>0</v>
      </c>
      <c r="R4">
        <v>0</v>
      </c>
      <c r="S4">
        <v>8</v>
      </c>
    </row>
    <row r="5" spans="1:19" x14ac:dyDescent="0.25">
      <c r="A5">
        <v>25</v>
      </c>
      <c r="B5">
        <v>1</v>
      </c>
      <c r="C5">
        <v>0</v>
      </c>
      <c r="D5">
        <v>1</v>
      </c>
      <c r="F5" s="5">
        <v>44699</v>
      </c>
      <c r="G5" s="7">
        <v>0.41116898148148145</v>
      </c>
      <c r="H5" t="s">
        <v>10</v>
      </c>
      <c r="I5" t="s">
        <v>11</v>
      </c>
      <c r="J5" t="s">
        <v>13</v>
      </c>
      <c r="L5" t="str">
        <f>IF(C5=0,H5,IF(C5=1,I5,IF(C5=2,J5,IF(C5=3,K5))))</f>
        <v>blue_pen.jpg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7</v>
      </c>
      <c r="P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6</v>
      </c>
      <c r="Q5">
        <f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5</v>
      </c>
      <c r="R5">
        <f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7</v>
      </c>
    </row>
    <row r="6" spans="1:19" hidden="1" x14ac:dyDescent="0.25">
      <c r="A6">
        <v>33</v>
      </c>
      <c r="B6">
        <v>1</v>
      </c>
      <c r="C6">
        <v>0</v>
      </c>
      <c r="F6" s="5">
        <v>44699</v>
      </c>
      <c r="G6" s="1">
        <v>0.4112615740740741</v>
      </c>
      <c r="O6">
        <v>7</v>
      </c>
      <c r="P6">
        <v>8</v>
      </c>
      <c r="Q6">
        <v>6</v>
      </c>
      <c r="R6">
        <v>0</v>
      </c>
      <c r="S6">
        <v>7</v>
      </c>
    </row>
    <row r="7" spans="1:19" x14ac:dyDescent="0.25">
      <c r="A7">
        <v>40</v>
      </c>
      <c r="B7">
        <v>1</v>
      </c>
      <c r="C7">
        <v>0</v>
      </c>
      <c r="D7">
        <v>1</v>
      </c>
      <c r="F7" s="5">
        <v>44699</v>
      </c>
      <c r="G7" s="7">
        <v>0.41134259259259259</v>
      </c>
      <c r="H7" t="s">
        <v>11</v>
      </c>
      <c r="I7" t="s">
        <v>12</v>
      </c>
      <c r="L7" t="str">
        <f>IF(C7=0,H7,IF(C7=1,I7,IF(C7=2,J7,IF(C7=3,K7))))</f>
        <v>red_pen.jpg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6</v>
      </c>
      <c r="P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0</v>
      </c>
      <c r="Q7">
        <f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0</v>
      </c>
      <c r="R7">
        <f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6</v>
      </c>
    </row>
    <row r="8" spans="1:19" hidden="1" x14ac:dyDescent="0.25">
      <c r="A8">
        <v>48</v>
      </c>
      <c r="B8">
        <v>1</v>
      </c>
      <c r="C8">
        <v>0</v>
      </c>
      <c r="F8" s="5">
        <v>44699</v>
      </c>
      <c r="G8" s="1">
        <v>0.4114814814814815</v>
      </c>
      <c r="O8">
        <v>8</v>
      </c>
      <c r="P8">
        <v>6</v>
      </c>
      <c r="Q8">
        <v>5</v>
      </c>
      <c r="R8">
        <v>7</v>
      </c>
      <c r="S8">
        <v>8</v>
      </c>
    </row>
    <row r="9" spans="1:19" x14ac:dyDescent="0.25">
      <c r="A9">
        <v>53</v>
      </c>
      <c r="B9">
        <v>1</v>
      </c>
      <c r="C9">
        <v>0</v>
      </c>
      <c r="D9">
        <v>1</v>
      </c>
      <c r="F9" s="5">
        <v>44699</v>
      </c>
      <c r="G9" s="7">
        <v>0.41155092592592596</v>
      </c>
      <c r="H9" t="s">
        <v>10</v>
      </c>
      <c r="I9" t="s">
        <v>12</v>
      </c>
      <c r="J9" t="s">
        <v>11</v>
      </c>
      <c r="L9" t="str">
        <f>IF(C9=0,H9,IF(C9=1,I9,IF(C9=2,J9,IF(C9=3,K9))))</f>
        <v>blue_pen.jpg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7</v>
      </c>
      <c r="P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0</v>
      </c>
      <c r="Q9">
        <f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6</v>
      </c>
      <c r="R9">
        <f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7</v>
      </c>
    </row>
    <row r="10" spans="1:19" hidden="1" x14ac:dyDescent="0.25">
      <c r="A10">
        <v>62</v>
      </c>
      <c r="B10">
        <v>1</v>
      </c>
      <c r="C10">
        <v>0</v>
      </c>
      <c r="F10" s="5">
        <v>44699</v>
      </c>
      <c r="G10" s="1">
        <v>0.41167824074074072</v>
      </c>
      <c r="O10">
        <v>5</v>
      </c>
      <c r="P10">
        <v>6</v>
      </c>
      <c r="Q10">
        <v>8</v>
      </c>
      <c r="R10">
        <v>0</v>
      </c>
      <c r="S10">
        <v>5</v>
      </c>
    </row>
    <row r="11" spans="1:19" x14ac:dyDescent="0.25">
      <c r="A11">
        <v>63</v>
      </c>
      <c r="B11">
        <v>1</v>
      </c>
      <c r="C11">
        <v>0</v>
      </c>
      <c r="D11">
        <v>0</v>
      </c>
      <c r="F11" s="5">
        <v>44699</v>
      </c>
      <c r="G11" s="7">
        <v>0.41171296296296295</v>
      </c>
      <c r="H11" t="s">
        <v>11</v>
      </c>
      <c r="I11" t="s">
        <v>13</v>
      </c>
      <c r="L11" t="str">
        <f>IF(C11=0,H11,IF(C11=1,I11,IF(C11=2,J11,IF(C11=3,K11))))</f>
        <v>red_pen.jpg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6</v>
      </c>
      <c r="P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Q11">
        <f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6</v>
      </c>
    </row>
    <row r="12" spans="1:19" hidden="1" x14ac:dyDescent="0.25">
      <c r="A12">
        <v>77</v>
      </c>
      <c r="B12">
        <v>1</v>
      </c>
      <c r="C12">
        <v>0</v>
      </c>
      <c r="F12" s="5">
        <v>44699</v>
      </c>
      <c r="G12" s="1">
        <v>0.41185185185185186</v>
      </c>
      <c r="O12">
        <v>1</v>
      </c>
      <c r="P12">
        <v>4</v>
      </c>
      <c r="Q12">
        <v>2</v>
      </c>
      <c r="R12">
        <v>0</v>
      </c>
      <c r="S12">
        <v>4</v>
      </c>
    </row>
    <row r="13" spans="1:19" x14ac:dyDescent="0.25">
      <c r="A13">
        <v>78</v>
      </c>
      <c r="B13">
        <v>1</v>
      </c>
      <c r="C13">
        <v>0</v>
      </c>
      <c r="D13">
        <v>0</v>
      </c>
      <c r="F13" s="5">
        <v>44699</v>
      </c>
      <c r="G13" s="7">
        <v>0.41188657407407409</v>
      </c>
      <c r="H13" t="s">
        <v>9</v>
      </c>
      <c r="I13" t="s">
        <v>13</v>
      </c>
      <c r="L13" t="str">
        <f>IF(C13=0,H13,IF(C13=1,I13,IF(C13=2,J13,IF(C13=3,K13))))</f>
        <v>green_pen.jpg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8</v>
      </c>
      <c r="P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Q13">
        <f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0</v>
      </c>
      <c r="R13">
        <f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8</v>
      </c>
    </row>
    <row r="14" spans="1:19" hidden="1" x14ac:dyDescent="0.25">
      <c r="A14">
        <v>88</v>
      </c>
      <c r="B14">
        <v>1</v>
      </c>
      <c r="C14">
        <v>0</v>
      </c>
      <c r="F14" s="5">
        <v>44699</v>
      </c>
      <c r="G14" s="1">
        <v>0.41199074074074077</v>
      </c>
      <c r="O14">
        <v>4</v>
      </c>
      <c r="P14">
        <v>2</v>
      </c>
      <c r="Q14">
        <v>0</v>
      </c>
      <c r="R14">
        <v>0</v>
      </c>
      <c r="S14">
        <v>2</v>
      </c>
    </row>
    <row r="15" spans="1:19" x14ac:dyDescent="0.25">
      <c r="A15">
        <v>93</v>
      </c>
      <c r="B15">
        <v>1</v>
      </c>
      <c r="C15">
        <v>0</v>
      </c>
      <c r="D15">
        <v>1</v>
      </c>
      <c r="F15" s="5">
        <v>44699</v>
      </c>
      <c r="G15" s="7">
        <v>0.41203703703703703</v>
      </c>
      <c r="H15" t="s">
        <v>13</v>
      </c>
      <c r="I15" t="s">
        <v>10</v>
      </c>
      <c r="J15" t="s">
        <v>12</v>
      </c>
      <c r="K15" t="s">
        <v>11</v>
      </c>
      <c r="L15" t="str">
        <f>IF(C15=0,H15,IF(C15=1,I15,IF(C15=2,J15,IF(C15=3,K15))))</f>
        <v>yellow_pen.jpg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5</v>
      </c>
      <c r="P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7</v>
      </c>
      <c r="Q15">
        <f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6</v>
      </c>
      <c r="S15">
        <f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5</v>
      </c>
    </row>
    <row r="16" spans="1:19" hidden="1" x14ac:dyDescent="0.25">
      <c r="A16">
        <v>101</v>
      </c>
      <c r="B16">
        <v>1</v>
      </c>
      <c r="C16">
        <v>0</v>
      </c>
      <c r="F16" s="5">
        <v>44699</v>
      </c>
      <c r="G16" s="1">
        <v>0.41214120370370372</v>
      </c>
      <c r="O16">
        <v>1</v>
      </c>
      <c r="P16">
        <v>2</v>
      </c>
      <c r="Q16">
        <v>0</v>
      </c>
      <c r="R16">
        <v>0</v>
      </c>
      <c r="S16">
        <v>2</v>
      </c>
    </row>
    <row r="17" spans="1:19" x14ac:dyDescent="0.25">
      <c r="A17">
        <v>105</v>
      </c>
      <c r="B17">
        <v>1</v>
      </c>
      <c r="C17">
        <v>0</v>
      </c>
      <c r="D17">
        <v>2</v>
      </c>
      <c r="F17" s="5">
        <v>44699</v>
      </c>
      <c r="G17" s="7">
        <v>0.41216435185185185</v>
      </c>
      <c r="H17" t="s">
        <v>13</v>
      </c>
      <c r="I17" t="s">
        <v>11</v>
      </c>
      <c r="J17" t="s">
        <v>12</v>
      </c>
      <c r="L17" t="str">
        <f>IF(C17=0,H17,IF(C17=1,I17,IF(C17=2,J17,IF(C17=3,K17))))</f>
        <v>yellow_pen.jpg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5</v>
      </c>
      <c r="P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6</v>
      </c>
      <c r="Q17">
        <f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5</v>
      </c>
    </row>
    <row r="18" spans="1:19" hidden="1" x14ac:dyDescent="0.25">
      <c r="A18">
        <v>113</v>
      </c>
      <c r="B18">
        <v>1</v>
      </c>
      <c r="C18">
        <v>0</v>
      </c>
      <c r="F18" s="5">
        <v>44699</v>
      </c>
      <c r="G18" s="1">
        <v>0.41226851851851848</v>
      </c>
      <c r="O18">
        <v>3</v>
      </c>
      <c r="P18">
        <v>2</v>
      </c>
      <c r="Q18">
        <v>0</v>
      </c>
      <c r="R18">
        <v>0</v>
      </c>
      <c r="S18">
        <v>2</v>
      </c>
    </row>
    <row r="19" spans="1:19" x14ac:dyDescent="0.25">
      <c r="A19">
        <v>118</v>
      </c>
      <c r="B19">
        <v>1</v>
      </c>
      <c r="C19">
        <v>0</v>
      </c>
      <c r="D19">
        <v>1</v>
      </c>
      <c r="F19" s="5">
        <v>44699</v>
      </c>
      <c r="G19" s="7">
        <v>0.41233796296296293</v>
      </c>
      <c r="H19" t="s">
        <v>9</v>
      </c>
      <c r="I19" t="s">
        <v>10</v>
      </c>
      <c r="L19" t="str">
        <f>IF(C19=0,H19,IF(C19=1,I19,IF(C19=2,J19,IF(C19=3,K19))))</f>
        <v>green_pen.jpg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8</v>
      </c>
      <c r="P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7</v>
      </c>
      <c r="Q19">
        <f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0</v>
      </c>
      <c r="R19">
        <f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8</v>
      </c>
    </row>
    <row r="20" spans="1:19" hidden="1" x14ac:dyDescent="0.25">
      <c r="A20">
        <v>129</v>
      </c>
      <c r="B20">
        <v>1</v>
      </c>
      <c r="C20">
        <v>0</v>
      </c>
      <c r="F20" s="5">
        <v>44699</v>
      </c>
      <c r="G20" s="1">
        <v>0.41245370370370371</v>
      </c>
      <c r="O20">
        <v>1</v>
      </c>
      <c r="P20">
        <v>3</v>
      </c>
      <c r="Q20">
        <v>0</v>
      </c>
      <c r="R20">
        <v>0</v>
      </c>
      <c r="S20">
        <v>3</v>
      </c>
    </row>
    <row r="21" spans="1:19" x14ac:dyDescent="0.25">
      <c r="A21">
        <v>132</v>
      </c>
      <c r="B21">
        <v>1</v>
      </c>
      <c r="C21">
        <v>0</v>
      </c>
      <c r="D21">
        <v>0</v>
      </c>
      <c r="F21" s="5">
        <v>44699</v>
      </c>
      <c r="G21" s="7">
        <v>0.41248842592592588</v>
      </c>
      <c r="H21" t="s">
        <v>10</v>
      </c>
      <c r="I21" t="s">
        <v>11</v>
      </c>
      <c r="L21" t="str">
        <f>IF(C21=0,H21,IF(C21=1,I21,IF(C21=2,J21,IF(C21=3,K21))))</f>
        <v>blue_pen.jpg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7</v>
      </c>
      <c r="P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6</v>
      </c>
      <c r="Q21">
        <f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0</v>
      </c>
      <c r="R21">
        <f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7</v>
      </c>
    </row>
    <row r="22" spans="1:19" hidden="1" x14ac:dyDescent="0.25">
      <c r="A22">
        <v>142</v>
      </c>
      <c r="B22">
        <v>1</v>
      </c>
      <c r="C22">
        <v>1</v>
      </c>
      <c r="F22" s="5">
        <v>44699</v>
      </c>
      <c r="G22" s="1">
        <v>0.41259259259259262</v>
      </c>
      <c r="O22">
        <v>9</v>
      </c>
      <c r="P22">
        <v>12</v>
      </c>
      <c r="Q22">
        <v>11</v>
      </c>
      <c r="R22">
        <v>10</v>
      </c>
      <c r="S22">
        <v>11</v>
      </c>
    </row>
    <row r="23" spans="1:19" x14ac:dyDescent="0.25">
      <c r="A23">
        <v>146</v>
      </c>
      <c r="B23">
        <v>1</v>
      </c>
      <c r="C23">
        <v>1</v>
      </c>
      <c r="D23">
        <v>0</v>
      </c>
      <c r="F23" s="5">
        <v>44699</v>
      </c>
      <c r="G23" s="7">
        <v>0.41263888888888894</v>
      </c>
      <c r="H23" t="s">
        <v>14</v>
      </c>
      <c r="I23" t="s">
        <v>17</v>
      </c>
      <c r="L23" t="str">
        <f>IF(C23=0,H23,IF(C23=1,I23,IF(C23=2,J23,IF(C23=3,K23))))</f>
        <v>yellow_pencil.jpg</v>
      </c>
      <c r="O23">
        <f t="shared" ref="O23:S24" si="0"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4</v>
      </c>
      <c r="P23">
        <f t="shared" si="0"/>
        <v>1</v>
      </c>
      <c r="Q23">
        <f t="shared" si="0"/>
        <v>0</v>
      </c>
      <c r="R23">
        <f t="shared" si="0"/>
        <v>0</v>
      </c>
      <c r="S23">
        <f t="shared" si="0"/>
        <v>1</v>
      </c>
    </row>
    <row r="24" spans="1:19" x14ac:dyDescent="0.25">
      <c r="A24">
        <v>148</v>
      </c>
      <c r="B24">
        <v>1</v>
      </c>
      <c r="C24">
        <v>1</v>
      </c>
      <c r="D24">
        <v>0</v>
      </c>
      <c r="F24" s="5">
        <v>44699</v>
      </c>
      <c r="G24" s="7">
        <v>0.41266203703703702</v>
      </c>
      <c r="H24" t="s">
        <v>14</v>
      </c>
      <c r="I24" t="s">
        <v>17</v>
      </c>
      <c r="L24" t="str">
        <f>IF(C24=0,H24,IF(C24=1,I24,IF(C24=2,J24,IF(C24=3,K24))))</f>
        <v>yellow_pencil.jpg</v>
      </c>
      <c r="O24">
        <f t="shared" si="0"/>
        <v>4</v>
      </c>
      <c r="P24">
        <f t="shared" si="0"/>
        <v>1</v>
      </c>
      <c r="Q24">
        <f t="shared" si="0"/>
        <v>0</v>
      </c>
      <c r="R24">
        <f t="shared" si="0"/>
        <v>0</v>
      </c>
      <c r="S24">
        <f t="shared" si="0"/>
        <v>1</v>
      </c>
    </row>
    <row r="25" spans="1:19" hidden="1" x14ac:dyDescent="0.25">
      <c r="A25">
        <v>160</v>
      </c>
      <c r="B25">
        <v>1</v>
      </c>
      <c r="C25">
        <v>1</v>
      </c>
      <c r="F25" s="5">
        <v>44699</v>
      </c>
      <c r="G25" s="1">
        <v>0.4127662037037037</v>
      </c>
      <c r="O25">
        <v>3</v>
      </c>
      <c r="P25">
        <v>2</v>
      </c>
      <c r="Q25">
        <v>0</v>
      </c>
      <c r="R25">
        <v>0</v>
      </c>
      <c r="S25">
        <v>3</v>
      </c>
    </row>
    <row r="26" spans="1:19" x14ac:dyDescent="0.25">
      <c r="A26">
        <v>161</v>
      </c>
      <c r="B26">
        <v>1</v>
      </c>
      <c r="C26">
        <v>1</v>
      </c>
      <c r="D26">
        <v>1</v>
      </c>
      <c r="F26" s="5">
        <v>44699</v>
      </c>
      <c r="G26" s="7">
        <v>0.41280092592592593</v>
      </c>
      <c r="H26" t="s">
        <v>15</v>
      </c>
      <c r="I26" t="s">
        <v>17</v>
      </c>
      <c r="J26" t="s">
        <v>16</v>
      </c>
      <c r="L26" t="str">
        <f>IF(C26=0,H26,IF(C26=1,I26,IF(C26=2,J26,IF(C26=3,K26))))</f>
        <v>yellow_pencil.jpg</v>
      </c>
      <c r="O26">
        <f>IF(H26="yellow_pencil.jpg",1,IF(H26="red_pencil.jpg",2,IF(H26="orange_pencil.jpg",3,IF(H26="blue_pencil.jpg",4,IF(H26="yellow_pen.jpg",5,IF(H26="red_pen.jpg",6,IF(H26="blue_pen.jpg",7,IF(H26="green_pen.jpg",8,IF(H26="pen1.jpg",9,IF(H26="pen2.jpg",10,IF(H26="pen3.jpg",11,IF(H26="pen4.jpg",12,0))))))))))))</f>
        <v>3</v>
      </c>
      <c r="P26">
        <f>IF(I26="yellow_pencil.jpg",1,IF(I26="red_pencil.jpg",2,IF(I26="orange_pencil.jpg",3,IF(I26="blue_pencil.jpg",4,IF(I26="yellow_pen.jpg",5,IF(I26="red_pen.jpg",6,IF(I26="blue_pen.jpg",7,IF(I26="green_pen.jpg",8,IF(I26="pen1.jpg",9,IF(I26="pen2.jpg",10,IF(I26="pen3.jpg",11,IF(I26="pen4.jpg",12,0))))))))))))</f>
        <v>1</v>
      </c>
      <c r="Q26">
        <f>IF(J26="yellow_pencil.jpg",1,IF(J26="red_pencil.jpg",2,IF(J26="orange_pencil.jpg",3,IF(J26="blue_pencil.jpg",4,IF(J26="yellow_pen.jpg",5,IF(J26="red_pen.jpg",6,IF(J26="blue_pen.jpg",7,IF(J26="green_pen.jpg",8,IF(J26="pen1.jpg",9,IF(J26="pen2.jpg",10,IF(J26="pen3.jpg",11,IF(J26="pen4.jpg",12,0))))))))))))</f>
        <v>2</v>
      </c>
      <c r="R26">
        <f>IF(K26="yellow_pencil.jpg",1,IF(K26="red_pencil.jpg",2,IF(K26="orange_pencil.jpg",3,IF(K26="blue_pencil.jpg",4,IF(K26="yellow_pen.jpg",5,IF(K26="red_pen.jpg",6,IF(K26="blue_pen.jpg",7,IF(K26="green_pen.jpg",8,IF(K26="pen1.jpg",9,IF(K26="pen2.jpg",10,IF(K26="pen3.jpg",11,IF(K26="pen4.jpg",12,0))))))))))))</f>
        <v>0</v>
      </c>
      <c r="S26">
        <f>IF(L26="yellow_pencil.jpg",1,IF(L26="red_pencil.jpg",2,IF(L26="orange_pencil.jpg",3,IF(L26="blue_pencil.jpg",4,IF(L26="yellow_pen.jpg",5,IF(L26="red_pen.jpg",6,IF(L26="blue_pen.jpg",7,IF(L26="green_pen.jpg",8,IF(L26="pen1.jpg",9,IF(L26="pen2.jpg",10,IF(L26="pen3.jpg",11,IF(L26="pen4.jpg",12,0))))))))))))</f>
        <v>1</v>
      </c>
    </row>
    <row r="27" spans="1:19" hidden="1" x14ac:dyDescent="0.25">
      <c r="A27">
        <v>171</v>
      </c>
      <c r="B27">
        <v>1</v>
      </c>
      <c r="C27">
        <v>1</v>
      </c>
      <c r="F27" s="5">
        <v>44699</v>
      </c>
      <c r="G27" s="1">
        <v>0.41291666666666665</v>
      </c>
      <c r="O27">
        <v>4</v>
      </c>
      <c r="P27">
        <v>3</v>
      </c>
      <c r="Q27">
        <v>0</v>
      </c>
      <c r="R27">
        <v>0</v>
      </c>
      <c r="S27">
        <v>4</v>
      </c>
    </row>
    <row r="28" spans="1:19" x14ac:dyDescent="0.25">
      <c r="A28">
        <v>173</v>
      </c>
      <c r="B28">
        <v>1</v>
      </c>
      <c r="C28">
        <v>1</v>
      </c>
      <c r="D28">
        <v>1</v>
      </c>
      <c r="F28" s="5">
        <v>44699</v>
      </c>
      <c r="G28" s="7">
        <v>0.41295138888888888</v>
      </c>
      <c r="H28" t="s">
        <v>15</v>
      </c>
      <c r="I28" t="s">
        <v>14</v>
      </c>
      <c r="L28" t="str">
        <f>IF(C28=0,H28,IF(C28=1,I28,IF(C28=2,J28,IF(C28=3,K28))))</f>
        <v>blue_pencil.jpg</v>
      </c>
      <c r="O28">
        <f t="shared" ref="O28:S29" si="1">IF(H28="yellow_pencil.jpg",1,IF(H28="red_pencil.jpg",2,IF(H28="orange_pencil.jpg",3,IF(H28="blue_pencil.jpg",4,IF(H28="yellow_pen.jpg",5,IF(H28="red_pen.jpg",6,IF(H28="blue_pen.jpg",7,IF(H28="green_pen.jpg",8,IF(H28="pen1.jpg",9,IF(H28="pen2.jpg",10,IF(H28="pen3.jpg",11,IF(H28="pen4.jpg",12,0))))))))))))</f>
        <v>3</v>
      </c>
      <c r="P28">
        <f t="shared" si="1"/>
        <v>4</v>
      </c>
      <c r="Q28">
        <f t="shared" si="1"/>
        <v>0</v>
      </c>
      <c r="R28">
        <f t="shared" si="1"/>
        <v>0</v>
      </c>
      <c r="S28">
        <f t="shared" si="1"/>
        <v>4</v>
      </c>
    </row>
    <row r="29" spans="1:19" x14ac:dyDescent="0.25">
      <c r="A29">
        <v>179</v>
      </c>
      <c r="B29">
        <v>1</v>
      </c>
      <c r="C29">
        <v>1</v>
      </c>
      <c r="D29">
        <v>0</v>
      </c>
      <c r="F29" s="5">
        <v>44699</v>
      </c>
      <c r="G29" s="7">
        <v>0.41298611111111111</v>
      </c>
      <c r="H29" t="s">
        <v>15</v>
      </c>
      <c r="I29" t="s">
        <v>14</v>
      </c>
      <c r="L29" t="str">
        <f>IF(C29=0,H29,IF(C29=1,I29,IF(C29=2,J29,IF(C29=3,K29))))</f>
        <v>blue_pencil.jpg</v>
      </c>
      <c r="O29">
        <f t="shared" si="1"/>
        <v>3</v>
      </c>
      <c r="P29">
        <f t="shared" si="1"/>
        <v>4</v>
      </c>
      <c r="Q29">
        <f t="shared" si="1"/>
        <v>0</v>
      </c>
      <c r="R29">
        <f t="shared" si="1"/>
        <v>0</v>
      </c>
      <c r="S29">
        <f t="shared" si="1"/>
        <v>4</v>
      </c>
    </row>
    <row r="30" spans="1:19" hidden="1" x14ac:dyDescent="0.25">
      <c r="A30">
        <v>188</v>
      </c>
      <c r="B30">
        <v>1</v>
      </c>
      <c r="C30">
        <v>1</v>
      </c>
      <c r="F30" s="5">
        <v>44699</v>
      </c>
      <c r="G30" s="1">
        <v>0.41310185185185189</v>
      </c>
      <c r="O30">
        <v>3</v>
      </c>
      <c r="P30">
        <v>1</v>
      </c>
      <c r="Q30">
        <v>4</v>
      </c>
      <c r="R30">
        <v>0</v>
      </c>
      <c r="S30">
        <v>3</v>
      </c>
    </row>
    <row r="31" spans="1:19" x14ac:dyDescent="0.25">
      <c r="A31">
        <v>197</v>
      </c>
      <c r="B31">
        <v>1</v>
      </c>
      <c r="C31">
        <v>1</v>
      </c>
      <c r="D31">
        <v>1</v>
      </c>
      <c r="F31" s="5">
        <v>44699</v>
      </c>
      <c r="G31" s="7">
        <v>0.41318287037037038</v>
      </c>
      <c r="H31" t="s">
        <v>16</v>
      </c>
      <c r="I31" t="s">
        <v>17</v>
      </c>
      <c r="L31" t="str">
        <f>IF(C31=0,H31,IF(C31=1,I31,IF(C31=2,J31,IF(C31=3,K31))))</f>
        <v>yellow_pencil.jpg</v>
      </c>
      <c r="O31">
        <f t="shared" ref="O31:S32" si="2"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2</v>
      </c>
      <c r="P31">
        <f t="shared" si="2"/>
        <v>1</v>
      </c>
      <c r="Q31">
        <f t="shared" si="2"/>
        <v>0</v>
      </c>
      <c r="R31">
        <f t="shared" si="2"/>
        <v>0</v>
      </c>
      <c r="S31">
        <f t="shared" si="2"/>
        <v>1</v>
      </c>
    </row>
    <row r="32" spans="1:19" x14ac:dyDescent="0.25">
      <c r="A32">
        <v>200</v>
      </c>
      <c r="B32">
        <v>1</v>
      </c>
      <c r="C32">
        <v>1</v>
      </c>
      <c r="D32">
        <v>0</v>
      </c>
      <c r="F32" s="5">
        <v>44699</v>
      </c>
      <c r="G32" s="7">
        <v>0.41320601851851851</v>
      </c>
      <c r="H32" t="s">
        <v>16</v>
      </c>
      <c r="I32" t="s">
        <v>17</v>
      </c>
      <c r="L32" t="str">
        <f>IF(C32=0,H32,IF(C32=1,I32,IF(C32=2,J32,IF(C32=3,K32))))</f>
        <v>yellow_pencil.jpg</v>
      </c>
      <c r="O32">
        <f t="shared" si="2"/>
        <v>2</v>
      </c>
      <c r="P32">
        <f t="shared" si="2"/>
        <v>1</v>
      </c>
      <c r="Q32">
        <f t="shared" si="2"/>
        <v>0</v>
      </c>
      <c r="R32">
        <f t="shared" si="2"/>
        <v>0</v>
      </c>
      <c r="S32">
        <f t="shared" si="2"/>
        <v>1</v>
      </c>
    </row>
    <row r="33" spans="1:19" hidden="1" x14ac:dyDescent="0.25">
      <c r="A33">
        <v>206</v>
      </c>
      <c r="B33">
        <v>1</v>
      </c>
      <c r="C33">
        <v>1</v>
      </c>
      <c r="F33" s="5">
        <v>44699</v>
      </c>
      <c r="G33" s="1">
        <v>0.41328703703703701</v>
      </c>
      <c r="O33">
        <v>2</v>
      </c>
      <c r="P33">
        <v>4</v>
      </c>
      <c r="Q33">
        <v>0</v>
      </c>
      <c r="R33">
        <v>0</v>
      </c>
      <c r="S33">
        <v>2</v>
      </c>
    </row>
    <row r="34" spans="1:19" x14ac:dyDescent="0.25">
      <c r="A34">
        <v>210</v>
      </c>
      <c r="B34">
        <v>1</v>
      </c>
      <c r="C34">
        <v>1</v>
      </c>
      <c r="D34">
        <v>0</v>
      </c>
      <c r="F34" s="5">
        <v>44699</v>
      </c>
      <c r="G34" s="7">
        <v>0.41332175925925929</v>
      </c>
      <c r="H34" t="s">
        <v>16</v>
      </c>
      <c r="I34" t="s">
        <v>14</v>
      </c>
      <c r="J34" t="s">
        <v>15</v>
      </c>
      <c r="L34" t="str">
        <f>IF(C34=0,H34,IF(C34=1,I34,IF(C34=2,J34,IF(C34=3,K34))))</f>
        <v>blue_pencil.jpg</v>
      </c>
      <c r="O34">
        <f>IF(H34="yellow_pencil.jpg",1,IF(H34="red_pencil.jpg",2,IF(H34="orange_pencil.jpg",3,IF(H34="blue_pencil.jpg",4,IF(H34="yellow_pen.jpg",5,IF(H34="red_pen.jpg",6,IF(H34="blue_pen.jpg",7,IF(H34="green_pen.jpg",8,IF(H34="pen1.jpg",9,IF(H34="pen2.jpg",10,IF(H34="pen3.jpg",11,IF(H34="pen4.jpg",12,0))))))))))))</f>
        <v>2</v>
      </c>
      <c r="P34">
        <f>IF(I34="yellow_pencil.jpg",1,IF(I34="red_pencil.jpg",2,IF(I34="orange_pencil.jpg",3,IF(I34="blue_pencil.jpg",4,IF(I34="yellow_pen.jpg",5,IF(I34="red_pen.jpg",6,IF(I34="blue_pen.jpg",7,IF(I34="green_pen.jpg",8,IF(I34="pen1.jpg",9,IF(I34="pen2.jpg",10,IF(I34="pen3.jpg",11,IF(I34="pen4.jpg",12,0))))))))))))</f>
        <v>4</v>
      </c>
      <c r="Q34">
        <f>IF(J34="yellow_pencil.jpg",1,IF(J34="red_pencil.jpg",2,IF(J34="orange_pencil.jpg",3,IF(J34="blue_pencil.jpg",4,IF(J34="yellow_pen.jpg",5,IF(J34="red_pen.jpg",6,IF(J34="blue_pen.jpg",7,IF(J34="green_pen.jpg",8,IF(J34="pen1.jpg",9,IF(J34="pen2.jpg",10,IF(J34="pen3.jpg",11,IF(J34="pen4.jpg",12,0))))))))))))</f>
        <v>3</v>
      </c>
      <c r="R34">
        <f>IF(K34="yellow_pencil.jpg",1,IF(K34="red_pencil.jpg",2,IF(K34="orange_pencil.jpg",3,IF(K34="blue_pencil.jpg",4,IF(K34="yellow_pen.jpg",5,IF(K34="red_pen.jpg",6,IF(K34="blue_pen.jpg",7,IF(K34="green_pen.jpg",8,IF(K34="pen1.jpg",9,IF(K34="pen2.jpg",10,IF(K34="pen3.jpg",11,IF(K34="pen4.jpg",12,0))))))))))))</f>
        <v>0</v>
      </c>
      <c r="S34">
        <f>IF(L34="yellow_pencil.jpg",1,IF(L34="red_pencil.jpg",2,IF(L34="orange_pencil.jpg",3,IF(L34="blue_pencil.jpg",4,IF(L34="yellow_pen.jpg",5,IF(L34="red_pen.jpg",6,IF(L34="blue_pen.jpg",7,IF(L34="green_pen.jpg",8,IF(L34="pen1.jpg",9,IF(L34="pen2.jpg",10,IF(L34="pen3.jpg",11,IF(L34="pen4.jpg",12,0))))))))))))</f>
        <v>4</v>
      </c>
    </row>
    <row r="35" spans="1:19" hidden="1" x14ac:dyDescent="0.25">
      <c r="A35">
        <v>222</v>
      </c>
      <c r="B35">
        <v>1</v>
      </c>
      <c r="C35">
        <v>1</v>
      </c>
      <c r="F35" s="5">
        <v>44699</v>
      </c>
      <c r="G35" s="1">
        <v>0.41343749999999996</v>
      </c>
      <c r="O35">
        <v>8</v>
      </c>
      <c r="P35">
        <v>5</v>
      </c>
      <c r="Q35">
        <v>6</v>
      </c>
      <c r="R35">
        <v>7</v>
      </c>
      <c r="S35">
        <v>5</v>
      </c>
    </row>
    <row r="36" spans="1:19" x14ac:dyDescent="0.25">
      <c r="A36">
        <v>230</v>
      </c>
      <c r="B36">
        <v>1</v>
      </c>
      <c r="C36">
        <v>1</v>
      </c>
      <c r="D36">
        <v>0</v>
      </c>
      <c r="F36" s="5">
        <v>44699</v>
      </c>
      <c r="G36" s="7">
        <v>0.41351851851851856</v>
      </c>
      <c r="H36" t="s">
        <v>14</v>
      </c>
      <c r="I36" t="s">
        <v>16</v>
      </c>
      <c r="L36" t="str">
        <f>IF(C36=0,H36,IF(C36=1,I36,IF(C36=2,J36,IF(C36=3,K36))))</f>
        <v>red_pencil.jpg</v>
      </c>
      <c r="O36">
        <f t="shared" ref="O36:S37" si="3">IF(H36="yellow_pencil.jpg",1,IF(H36="red_pencil.jpg",2,IF(H36="orange_pencil.jpg",3,IF(H36="blue_pencil.jpg",4,IF(H36="yellow_pen.jpg",5,IF(H36="red_pen.jpg",6,IF(H36="blue_pen.jpg",7,IF(H36="green_pen.jpg",8,IF(H36="pen1.jpg",9,IF(H36="pen2.jpg",10,IF(H36="pen3.jpg",11,IF(H36="pen4.jpg",12,0))))))))))))</f>
        <v>4</v>
      </c>
      <c r="P36">
        <f t="shared" si="3"/>
        <v>2</v>
      </c>
      <c r="Q36">
        <f t="shared" si="3"/>
        <v>0</v>
      </c>
      <c r="R36">
        <f t="shared" si="3"/>
        <v>0</v>
      </c>
      <c r="S36">
        <f t="shared" si="3"/>
        <v>2</v>
      </c>
    </row>
    <row r="37" spans="1:19" x14ac:dyDescent="0.25">
      <c r="A37">
        <v>231</v>
      </c>
      <c r="B37">
        <v>1</v>
      </c>
      <c r="C37">
        <v>1</v>
      </c>
      <c r="D37">
        <v>1</v>
      </c>
      <c r="F37" s="5">
        <v>44699</v>
      </c>
      <c r="G37" s="7">
        <v>0.4135300925925926</v>
      </c>
      <c r="H37" t="s">
        <v>14</v>
      </c>
      <c r="I37" t="s">
        <v>16</v>
      </c>
      <c r="L37" t="str">
        <f>IF(C37=0,H37,IF(C37=1,I37,IF(C37=2,J37,IF(C37=3,K37))))</f>
        <v>red_pencil.jpg</v>
      </c>
      <c r="O37">
        <f t="shared" si="3"/>
        <v>4</v>
      </c>
      <c r="P37">
        <f t="shared" si="3"/>
        <v>2</v>
      </c>
      <c r="Q37">
        <f t="shared" si="3"/>
        <v>0</v>
      </c>
      <c r="R37">
        <f t="shared" si="3"/>
        <v>0</v>
      </c>
      <c r="S37">
        <f t="shared" si="3"/>
        <v>2</v>
      </c>
    </row>
    <row r="38" spans="1:19" hidden="1" x14ac:dyDescent="0.25">
      <c r="A38">
        <v>240</v>
      </c>
      <c r="B38">
        <v>1</v>
      </c>
      <c r="C38">
        <v>1</v>
      </c>
      <c r="F38" s="5">
        <v>44699</v>
      </c>
      <c r="G38" s="1">
        <v>0.41364583333333332</v>
      </c>
      <c r="O38">
        <v>5</v>
      </c>
      <c r="P38">
        <v>8</v>
      </c>
      <c r="Q38">
        <v>0</v>
      </c>
      <c r="R38">
        <v>0</v>
      </c>
      <c r="S38">
        <v>8</v>
      </c>
    </row>
    <row r="39" spans="1:19" x14ac:dyDescent="0.25">
      <c r="A39">
        <v>247</v>
      </c>
      <c r="B39">
        <v>1</v>
      </c>
      <c r="C39">
        <v>1</v>
      </c>
      <c r="D39">
        <v>1</v>
      </c>
      <c r="F39" s="5">
        <v>44699</v>
      </c>
      <c r="G39" s="7">
        <v>0.41369212962962965</v>
      </c>
      <c r="H39" t="s">
        <v>15</v>
      </c>
      <c r="I39" t="s">
        <v>16</v>
      </c>
      <c r="L39" t="str">
        <f>IF(C39=0,H39,IF(C39=1,I39,IF(C39=2,J39,IF(C39=3,K39))))</f>
        <v>red_pencil.jpg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3</v>
      </c>
      <c r="P39">
        <f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2</v>
      </c>
      <c r="Q39">
        <f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0</v>
      </c>
      <c r="R39">
        <f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2</v>
      </c>
    </row>
    <row r="40" spans="1:19" hidden="1" x14ac:dyDescent="0.25">
      <c r="A40">
        <v>253</v>
      </c>
      <c r="B40">
        <v>1</v>
      </c>
      <c r="C40">
        <v>1</v>
      </c>
      <c r="F40" s="5">
        <v>44699</v>
      </c>
      <c r="G40" s="1">
        <v>0.41381944444444446</v>
      </c>
      <c r="O40">
        <v>7</v>
      </c>
      <c r="P40">
        <v>5</v>
      </c>
      <c r="Q40">
        <v>0</v>
      </c>
      <c r="R40">
        <v>0</v>
      </c>
      <c r="S40">
        <v>5</v>
      </c>
    </row>
    <row r="41" spans="1:19" x14ac:dyDescent="0.25">
      <c r="A41">
        <v>262</v>
      </c>
      <c r="B41">
        <v>1</v>
      </c>
      <c r="C41">
        <v>1</v>
      </c>
      <c r="D41">
        <v>1</v>
      </c>
      <c r="F41" s="5">
        <v>44699</v>
      </c>
      <c r="G41" s="7">
        <v>0.41387731481481477</v>
      </c>
      <c r="H41" t="s">
        <v>16</v>
      </c>
      <c r="I41" t="s">
        <v>17</v>
      </c>
      <c r="J41" t="s">
        <v>14</v>
      </c>
      <c r="L41" t="str">
        <f>IF(C41=0,H41,IF(C41=1,I41,IF(C41=2,J41,IF(C41=3,K41))))</f>
        <v>yellow_pencil.jpg</v>
      </c>
      <c r="O41">
        <f t="shared" ref="O41:S42" si="4"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2</v>
      </c>
      <c r="P41">
        <f t="shared" si="4"/>
        <v>1</v>
      </c>
      <c r="Q41">
        <f t="shared" si="4"/>
        <v>4</v>
      </c>
      <c r="R41">
        <f t="shared" si="4"/>
        <v>0</v>
      </c>
      <c r="S41">
        <f t="shared" si="4"/>
        <v>1</v>
      </c>
    </row>
    <row r="42" spans="1:19" x14ac:dyDescent="0.25">
      <c r="A42">
        <v>263</v>
      </c>
      <c r="B42">
        <v>1</v>
      </c>
      <c r="C42">
        <v>1</v>
      </c>
      <c r="D42">
        <v>2</v>
      </c>
      <c r="F42" s="5">
        <v>44699</v>
      </c>
      <c r="G42" s="7">
        <v>0.41392361111111109</v>
      </c>
      <c r="H42" t="s">
        <v>16</v>
      </c>
      <c r="I42" t="s">
        <v>17</v>
      </c>
      <c r="J42" t="s">
        <v>14</v>
      </c>
      <c r="L42" t="str">
        <f>IF(C42=0,H42,IF(C42=1,I42,IF(C42=2,J42,IF(C42=3,K42))))</f>
        <v>yellow_pencil.jpg</v>
      </c>
      <c r="O42">
        <f t="shared" si="4"/>
        <v>2</v>
      </c>
      <c r="P42">
        <f t="shared" si="4"/>
        <v>1</v>
      </c>
      <c r="Q42">
        <f t="shared" si="4"/>
        <v>4</v>
      </c>
      <c r="R42">
        <f t="shared" si="4"/>
        <v>0</v>
      </c>
      <c r="S42">
        <f t="shared" si="4"/>
        <v>1</v>
      </c>
    </row>
    <row r="43" spans="1:19" hidden="1" x14ac:dyDescent="0.25">
      <c r="A43">
        <v>276</v>
      </c>
      <c r="B43">
        <v>1</v>
      </c>
      <c r="C43">
        <v>1</v>
      </c>
      <c r="F43" s="5">
        <v>44699</v>
      </c>
      <c r="G43" s="1">
        <v>0.41403935185185187</v>
      </c>
      <c r="O43">
        <v>7</v>
      </c>
      <c r="P43">
        <v>8</v>
      </c>
      <c r="Q43">
        <v>0</v>
      </c>
      <c r="R43">
        <v>0</v>
      </c>
      <c r="S43">
        <v>8</v>
      </c>
    </row>
    <row r="44" spans="1:19" x14ac:dyDescent="0.25">
      <c r="A44">
        <v>278</v>
      </c>
      <c r="B44">
        <v>1</v>
      </c>
      <c r="C44">
        <v>1</v>
      </c>
      <c r="D44">
        <v>0</v>
      </c>
      <c r="F44" s="5">
        <v>44699</v>
      </c>
      <c r="G44" s="7">
        <v>0.41407407407407404</v>
      </c>
      <c r="H44" t="s">
        <v>17</v>
      </c>
      <c r="I44" t="s">
        <v>15</v>
      </c>
      <c r="J44" t="s">
        <v>14</v>
      </c>
      <c r="L44" t="str">
        <f>IF(C44=0,H44,IF(C44=1,I44,IF(C44=2,J44,IF(C44=3,K44))))</f>
        <v>orange_pencil.jpg</v>
      </c>
      <c r="O44">
        <f>IF(H44="yellow_pencil.jpg",1,IF(H44="red_pencil.jpg",2,IF(H44="orange_pencil.jpg",3,IF(H44="blue_pencil.jpg",4,IF(H44="yellow_pen.jpg",5,IF(H44="red_pen.jpg",6,IF(H44="blue_pen.jpg",7,IF(H44="green_pen.jpg",8,IF(H44="pen1.jpg",9,IF(H44="pen2.jpg",10,IF(H44="pen3.jpg",11,IF(H44="pen4.jpg",12,0))))))))))))</f>
        <v>1</v>
      </c>
      <c r="P44">
        <f>IF(I44="yellow_pencil.jpg",1,IF(I44="red_pencil.jpg",2,IF(I44="orange_pencil.jpg",3,IF(I44="blue_pencil.jpg",4,IF(I44="yellow_pen.jpg",5,IF(I44="red_pen.jpg",6,IF(I44="blue_pen.jpg",7,IF(I44="green_pen.jpg",8,IF(I44="pen1.jpg",9,IF(I44="pen2.jpg",10,IF(I44="pen3.jpg",11,IF(I44="pen4.jpg",12,0))))))))))))</f>
        <v>3</v>
      </c>
      <c r="Q44">
        <f>IF(J44="yellow_pencil.jpg",1,IF(J44="red_pencil.jpg",2,IF(J44="orange_pencil.jpg",3,IF(J44="blue_pencil.jpg",4,IF(J44="yellow_pen.jpg",5,IF(J44="red_pen.jpg",6,IF(J44="blue_pen.jpg",7,IF(J44="green_pen.jpg",8,IF(J44="pen1.jpg",9,IF(J44="pen2.jpg",10,IF(J44="pen3.jpg",11,IF(J44="pen4.jpg",12,0))))))))))))</f>
        <v>4</v>
      </c>
      <c r="R44">
        <f>IF(K44="yellow_pencil.jpg",1,IF(K44="red_pencil.jpg",2,IF(K44="orange_pencil.jpg",3,IF(K44="blue_pencil.jpg",4,IF(K44="yellow_pen.jpg",5,IF(K44="red_pen.jpg",6,IF(K44="blue_pen.jpg",7,IF(K44="green_pen.jpg",8,IF(K44="pen1.jpg",9,IF(K44="pen2.jpg",10,IF(K44="pen3.jpg",11,IF(K44="pen4.jpg",12,0))))))))))))</f>
        <v>0</v>
      </c>
      <c r="S44">
        <f>IF(L44="yellow_pencil.jpg",1,IF(L44="red_pencil.jpg",2,IF(L44="orange_pencil.jpg",3,IF(L44="blue_pencil.jpg",4,IF(L44="yellow_pen.jpg",5,IF(L44="red_pen.jpg",6,IF(L44="blue_pen.jpg",7,IF(L44="green_pen.jpg",8,IF(L44="pen1.jpg",9,IF(L44="pen2.jpg",10,IF(L44="pen3.jpg",11,IF(L44="pen4.jpg",12,0))))))))))))</f>
        <v>3</v>
      </c>
    </row>
    <row r="45" spans="1:19" hidden="1" x14ac:dyDescent="0.25">
      <c r="A45">
        <v>290</v>
      </c>
      <c r="B45">
        <v>1</v>
      </c>
      <c r="C45">
        <v>1</v>
      </c>
      <c r="F45" s="5">
        <v>44699</v>
      </c>
      <c r="G45" s="1">
        <v>0.41421296296296295</v>
      </c>
      <c r="O45">
        <v>10</v>
      </c>
      <c r="P45">
        <v>9</v>
      </c>
      <c r="Q45">
        <v>12</v>
      </c>
      <c r="R45">
        <v>11</v>
      </c>
      <c r="S45">
        <v>12</v>
      </c>
    </row>
    <row r="46" spans="1:19" x14ac:dyDescent="0.25">
      <c r="A46">
        <v>295</v>
      </c>
      <c r="B46">
        <v>1</v>
      </c>
      <c r="C46">
        <v>1</v>
      </c>
      <c r="D46">
        <v>2</v>
      </c>
      <c r="F46" s="5">
        <v>44699</v>
      </c>
      <c r="G46" s="7">
        <v>0.4142824074074074</v>
      </c>
      <c r="H46" t="s">
        <v>17</v>
      </c>
      <c r="I46" t="s">
        <v>14</v>
      </c>
      <c r="J46" t="s">
        <v>15</v>
      </c>
      <c r="K46" t="s">
        <v>16</v>
      </c>
      <c r="L46" t="str">
        <f>IF(C46=0,H46,IF(C46=1,I46,IF(C46=2,J46,IF(C46=3,K46))))</f>
        <v>blue_pencil.jpg</v>
      </c>
      <c r="O46">
        <f>IF(H46="yellow_pencil.jpg",1,IF(H46="red_pencil.jpg",2,IF(H46="orange_pencil.jpg",3,IF(H46="blue_pencil.jpg",4,IF(H46="yellow_pen.jpg",5,IF(H46="red_pen.jpg",6,IF(H46="blue_pen.jpg",7,IF(H46="green_pen.jpg",8,IF(H46="pen1.jpg",9,IF(H46="pen2.jpg",10,IF(H46="pen3.jpg",11,IF(H46="pen4.jpg",12,0))))))))))))</f>
        <v>1</v>
      </c>
      <c r="P46">
        <f>IF(I46="yellow_pencil.jpg",1,IF(I46="red_pencil.jpg",2,IF(I46="orange_pencil.jpg",3,IF(I46="blue_pencil.jpg",4,IF(I46="yellow_pen.jpg",5,IF(I46="red_pen.jpg",6,IF(I46="blue_pen.jpg",7,IF(I46="green_pen.jpg",8,IF(I46="pen1.jpg",9,IF(I46="pen2.jpg",10,IF(I46="pen3.jpg",11,IF(I46="pen4.jpg",12,0))))))))))))</f>
        <v>4</v>
      </c>
      <c r="Q46">
        <f>IF(J46="yellow_pencil.jpg",1,IF(J46="red_pencil.jpg",2,IF(J46="orange_pencil.jpg",3,IF(J46="blue_pencil.jpg",4,IF(J46="yellow_pen.jpg",5,IF(J46="red_pen.jpg",6,IF(J46="blue_pen.jpg",7,IF(J46="green_pen.jpg",8,IF(J46="pen1.jpg",9,IF(J46="pen2.jpg",10,IF(J46="pen3.jpg",11,IF(J46="pen4.jpg",12,0))))))))))))</f>
        <v>3</v>
      </c>
      <c r="R46">
        <f>IF(K46="yellow_pencil.jpg",1,IF(K46="red_pencil.jpg",2,IF(K46="orange_pencil.jpg",3,IF(K46="blue_pencil.jpg",4,IF(K46="yellow_pen.jpg",5,IF(K46="red_pen.jpg",6,IF(K46="blue_pen.jpg",7,IF(K46="green_pen.jpg",8,IF(K46="pen1.jpg",9,IF(K46="pen2.jpg",10,IF(K46="pen3.jpg",11,IF(K46="pen4.jpg",12,0))))))))))))</f>
        <v>2</v>
      </c>
      <c r="S46">
        <f>IF(L46="yellow_pencil.jpg",1,IF(L46="red_pencil.jpg",2,IF(L46="orange_pencil.jpg",3,IF(L46="blue_pencil.jpg",4,IF(L46="yellow_pen.jpg",5,IF(L46="red_pen.jpg",6,IF(L46="blue_pen.jpg",7,IF(L46="green_pen.jpg",8,IF(L46="pen1.jpg",9,IF(L46="pen2.jpg",10,IF(L46="pen3.jpg",11,IF(L46="pen4.jpg",12,0))))))))))))</f>
        <v>4</v>
      </c>
    </row>
    <row r="47" spans="1:19" hidden="1" x14ac:dyDescent="0.25">
      <c r="A47">
        <v>307</v>
      </c>
      <c r="B47">
        <v>1</v>
      </c>
      <c r="C47">
        <v>1</v>
      </c>
      <c r="F47" s="5">
        <v>44699</v>
      </c>
      <c r="G47" s="1">
        <v>0.41439814814814818</v>
      </c>
      <c r="O47">
        <v>7</v>
      </c>
      <c r="P47">
        <v>5</v>
      </c>
      <c r="Q47">
        <v>0</v>
      </c>
      <c r="R47">
        <v>0</v>
      </c>
      <c r="S47">
        <v>7</v>
      </c>
    </row>
    <row r="48" spans="1:19" x14ac:dyDescent="0.25">
      <c r="A48">
        <v>310</v>
      </c>
      <c r="B48">
        <v>1</v>
      </c>
      <c r="C48">
        <v>1</v>
      </c>
      <c r="D48">
        <v>1</v>
      </c>
      <c r="F48" s="5">
        <v>44699</v>
      </c>
      <c r="G48" s="7">
        <v>0.41444444444444445</v>
      </c>
      <c r="H48" t="s">
        <v>15</v>
      </c>
      <c r="I48" t="s">
        <v>17</v>
      </c>
      <c r="L48" t="str">
        <f>IF(C48=0,H48,IF(C48=1,I48,IF(C48=2,J48,IF(C48=3,K48))))</f>
        <v>yellow_pencil.jpg</v>
      </c>
      <c r="O48">
        <f>IF(H48="yellow_pencil.jpg",1,IF(H48="red_pencil.jpg",2,IF(H48="orange_pencil.jpg",3,IF(H48="blue_pencil.jpg",4,IF(H48="yellow_pen.jpg",5,IF(H48="red_pen.jpg",6,IF(H48="blue_pen.jpg",7,IF(H48="green_pen.jpg",8,IF(H48="pen1.jpg",9,IF(H48="pen2.jpg",10,IF(H48="pen3.jpg",11,IF(H48="pen4.jpg",12,0))))))))))))</f>
        <v>3</v>
      </c>
      <c r="P48">
        <f>IF(I48="yellow_pencil.jpg",1,IF(I48="red_pencil.jpg",2,IF(I48="orange_pencil.jpg",3,IF(I48="blue_pencil.jpg",4,IF(I48="yellow_pen.jpg",5,IF(I48="red_pen.jpg",6,IF(I48="blue_pen.jpg",7,IF(I48="green_pen.jpg",8,IF(I48="pen1.jpg",9,IF(I48="pen2.jpg",10,IF(I48="pen3.jpg",11,IF(I48="pen4.jpg",12,0))))))))))))</f>
        <v>1</v>
      </c>
      <c r="Q48">
        <f>IF(J48="yellow_pencil.jpg",1,IF(J48="red_pencil.jpg",2,IF(J48="orange_pencil.jpg",3,IF(J48="blue_pencil.jpg",4,IF(J48="yellow_pen.jpg",5,IF(J48="red_pen.jpg",6,IF(J48="blue_pen.jpg",7,IF(J48="green_pen.jpg",8,IF(J48="pen1.jpg",9,IF(J48="pen2.jpg",10,IF(J48="pen3.jpg",11,IF(J48="pen4.jpg",12,0))))))))))))</f>
        <v>0</v>
      </c>
      <c r="R48">
        <f>IF(K48="yellow_pencil.jpg",1,IF(K48="red_pencil.jpg",2,IF(K48="orange_pencil.jpg",3,IF(K48="blue_pencil.jpg",4,IF(K48="yellow_pen.jpg",5,IF(K48="red_pen.jpg",6,IF(K48="blue_pen.jpg",7,IF(K48="green_pen.jpg",8,IF(K48="pen1.jpg",9,IF(K48="pen2.jpg",10,IF(K48="pen3.jpg",11,IF(K48="pen4.jpg",12,0))))))))))))</f>
        <v>0</v>
      </c>
      <c r="S48">
        <f>IF(L48="yellow_pencil.jpg",1,IF(L48="red_pencil.jpg",2,IF(L48="orange_pencil.jpg",3,IF(L48="blue_pencil.jpg",4,IF(L48="yellow_pen.jpg",5,IF(L48="red_pen.jpg",6,IF(L48="blue_pen.jpg",7,IF(L48="green_pen.jpg",8,IF(L48="pen1.jpg",9,IF(L48="pen2.jpg",10,IF(L48="pen3.jpg",11,IF(L48="pen4.jpg",12,0))))))))))))</f>
        <v>1</v>
      </c>
    </row>
    <row r="49" spans="1:19" hidden="1" x14ac:dyDescent="0.25">
      <c r="A49">
        <v>317</v>
      </c>
      <c r="B49">
        <v>1</v>
      </c>
      <c r="C49">
        <v>2</v>
      </c>
      <c r="F49" s="5">
        <v>44699</v>
      </c>
      <c r="G49" s="1">
        <v>0.41454861111111113</v>
      </c>
      <c r="O49">
        <v>5</v>
      </c>
      <c r="P49">
        <v>7</v>
      </c>
      <c r="Q49">
        <v>8</v>
      </c>
      <c r="R49">
        <v>0</v>
      </c>
      <c r="S49">
        <v>5</v>
      </c>
    </row>
    <row r="50" spans="1:19" x14ac:dyDescent="0.25">
      <c r="A50">
        <v>324</v>
      </c>
      <c r="B50">
        <v>1</v>
      </c>
      <c r="C50">
        <v>2</v>
      </c>
      <c r="D50">
        <v>0</v>
      </c>
      <c r="F50" s="5">
        <v>44699</v>
      </c>
      <c r="G50" s="7">
        <v>0.4145833333333333</v>
      </c>
      <c r="H50" t="s">
        <v>18</v>
      </c>
      <c r="I50" t="s">
        <v>21</v>
      </c>
      <c r="J50" t="s">
        <v>20</v>
      </c>
      <c r="K50" t="s">
        <v>19</v>
      </c>
      <c r="L50" t="str">
        <f>IF(C50=0,H50,IF(C50=1,I50,IF(C50=2,J50,IF(C50=3,K50))))</f>
        <v>pen3.jpg</v>
      </c>
      <c r="O50">
        <f t="shared" ref="O50:S51" si="5">IF(H50="yellow_pencil.jpg",1,IF(H50="red_pencil.jpg",2,IF(H50="orange_pencil.jpg",3,IF(H50="blue_pencil.jpg",4,IF(H50="yellow_pen.jpg",5,IF(H50="red_pen.jpg",6,IF(H50="blue_pen.jpg",7,IF(H50="green_pen.jpg",8,IF(H50="pen1.jpg",9,IF(H50="pen2.jpg",10,IF(H50="pen3.jpg",11,IF(H50="pen4.jpg",12,0))))))))))))</f>
        <v>12</v>
      </c>
      <c r="P50">
        <f t="shared" si="5"/>
        <v>9</v>
      </c>
      <c r="Q50">
        <f t="shared" si="5"/>
        <v>11</v>
      </c>
      <c r="R50">
        <f t="shared" si="5"/>
        <v>10</v>
      </c>
      <c r="S50">
        <f t="shared" si="5"/>
        <v>11</v>
      </c>
    </row>
    <row r="51" spans="1:19" x14ac:dyDescent="0.25">
      <c r="A51">
        <v>327</v>
      </c>
      <c r="B51">
        <v>1</v>
      </c>
      <c r="C51">
        <v>2</v>
      </c>
      <c r="D51">
        <v>1</v>
      </c>
      <c r="F51" s="5">
        <v>44699</v>
      </c>
      <c r="G51" s="7">
        <v>0.41462962962962963</v>
      </c>
      <c r="H51" t="s">
        <v>18</v>
      </c>
      <c r="I51" t="s">
        <v>21</v>
      </c>
      <c r="J51" t="s">
        <v>20</v>
      </c>
      <c r="K51" t="s">
        <v>19</v>
      </c>
      <c r="L51" t="str">
        <f>IF(C51=0,H51,IF(C51=1,I51,IF(C51=2,J51,IF(C51=3,K51))))</f>
        <v>pen3.jpg</v>
      </c>
      <c r="O51">
        <f t="shared" si="5"/>
        <v>12</v>
      </c>
      <c r="P51">
        <f t="shared" si="5"/>
        <v>9</v>
      </c>
      <c r="Q51">
        <f t="shared" si="5"/>
        <v>11</v>
      </c>
      <c r="R51">
        <f t="shared" si="5"/>
        <v>10</v>
      </c>
      <c r="S51">
        <f t="shared" si="5"/>
        <v>11</v>
      </c>
    </row>
    <row r="54" spans="1:19" x14ac:dyDescent="0.25">
      <c r="A54">
        <v>1</v>
      </c>
      <c r="D54" t="s">
        <v>63</v>
      </c>
      <c r="E54" t="s">
        <v>64</v>
      </c>
      <c r="I54" s="1">
        <v>3.5484953703703706E-2</v>
      </c>
      <c r="J54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G130"/>
  <sheetViews>
    <sheetView workbookViewId="0">
      <selection activeCell="J31" sqref="J31"/>
    </sheetView>
  </sheetViews>
  <sheetFormatPr defaultRowHeight="15" x14ac:dyDescent="0.25"/>
  <cols>
    <col min="6" max="6" width="10.5703125" bestFit="1" customWidth="1"/>
  </cols>
  <sheetData>
    <row r="1" spans="1:7" x14ac:dyDescent="0.25">
      <c r="A1" t="s">
        <v>0</v>
      </c>
      <c r="B1" t="s">
        <v>1</v>
      </c>
      <c r="C1" t="s">
        <v>44</v>
      </c>
      <c r="D1" t="s">
        <v>45</v>
      </c>
      <c r="E1" t="s">
        <v>48</v>
      </c>
      <c r="F1" t="s">
        <v>46</v>
      </c>
      <c r="G1" t="s">
        <v>47</v>
      </c>
    </row>
    <row r="2" spans="1:7" hidden="1" x14ac:dyDescent="0.25">
      <c r="A2">
        <v>8</v>
      </c>
      <c r="B2">
        <v>1</v>
      </c>
      <c r="C2">
        <v>1</v>
      </c>
      <c r="F2" s="5">
        <v>44699</v>
      </c>
      <c r="G2" s="6">
        <v>0.41548611111111106</v>
      </c>
    </row>
    <row r="3" spans="1:7" hidden="1" x14ac:dyDescent="0.25">
      <c r="A3">
        <v>9</v>
      </c>
      <c r="B3">
        <v>1</v>
      </c>
      <c r="C3">
        <v>1</v>
      </c>
      <c r="D3">
        <v>1</v>
      </c>
      <c r="E3">
        <v>1</v>
      </c>
      <c r="F3" s="5">
        <v>44699</v>
      </c>
      <c r="G3" s="6">
        <v>0.41553240740740738</v>
      </c>
    </row>
    <row r="4" spans="1:7" hidden="1" x14ac:dyDescent="0.25">
      <c r="A4">
        <v>10</v>
      </c>
      <c r="B4">
        <v>1</v>
      </c>
      <c r="C4">
        <v>2</v>
      </c>
      <c r="F4" s="5">
        <v>44699</v>
      </c>
      <c r="G4" s="6">
        <v>0.41553240740740738</v>
      </c>
    </row>
    <row r="5" spans="1:7" hidden="1" x14ac:dyDescent="0.25">
      <c r="A5">
        <v>13</v>
      </c>
      <c r="B5">
        <v>1</v>
      </c>
      <c r="C5">
        <v>2</v>
      </c>
      <c r="D5">
        <v>1</v>
      </c>
      <c r="E5">
        <v>2</v>
      </c>
      <c r="F5" s="5">
        <v>44699</v>
      </c>
      <c r="G5" s="6">
        <v>0.41559027777777779</v>
      </c>
    </row>
    <row r="6" spans="1:7" hidden="1" x14ac:dyDescent="0.25">
      <c r="A6">
        <v>14</v>
      </c>
      <c r="B6">
        <v>1</v>
      </c>
      <c r="C6">
        <v>3</v>
      </c>
      <c r="F6" s="5">
        <v>44699</v>
      </c>
      <c r="G6" s="6">
        <v>0.41559027777777779</v>
      </c>
    </row>
    <row r="7" spans="1:7" hidden="1" x14ac:dyDescent="0.25">
      <c r="A7">
        <v>19</v>
      </c>
      <c r="B7">
        <v>1</v>
      </c>
      <c r="C7">
        <v>3</v>
      </c>
      <c r="D7">
        <v>0</v>
      </c>
      <c r="E7">
        <v>3</v>
      </c>
      <c r="F7" s="5">
        <v>44699</v>
      </c>
      <c r="G7" s="6">
        <v>0.41567129629629629</v>
      </c>
    </row>
    <row r="8" spans="1:7" hidden="1" x14ac:dyDescent="0.25">
      <c r="A8">
        <v>20</v>
      </c>
      <c r="B8">
        <v>1</v>
      </c>
      <c r="C8">
        <v>4</v>
      </c>
      <c r="F8" s="5">
        <v>44699</v>
      </c>
      <c r="G8" s="6">
        <v>0.41567129629629629</v>
      </c>
    </row>
    <row r="9" spans="1:7" hidden="1" x14ac:dyDescent="0.25">
      <c r="A9">
        <v>21</v>
      </c>
      <c r="B9">
        <v>1</v>
      </c>
      <c r="C9">
        <v>4</v>
      </c>
      <c r="D9">
        <v>3</v>
      </c>
      <c r="E9">
        <v>4</v>
      </c>
      <c r="F9" s="5">
        <v>44699</v>
      </c>
      <c r="G9" s="6">
        <v>0.41572916666666665</v>
      </c>
    </row>
    <row r="10" spans="1:7" hidden="1" x14ac:dyDescent="0.25">
      <c r="A10">
        <v>22</v>
      </c>
      <c r="B10">
        <v>1</v>
      </c>
      <c r="C10">
        <v>5</v>
      </c>
      <c r="F10" s="5">
        <v>44699</v>
      </c>
      <c r="G10" s="6">
        <v>0.41572916666666665</v>
      </c>
    </row>
    <row r="11" spans="1:7" hidden="1" x14ac:dyDescent="0.25">
      <c r="A11">
        <v>27</v>
      </c>
      <c r="B11">
        <v>1</v>
      </c>
      <c r="C11">
        <v>5</v>
      </c>
      <c r="D11">
        <v>3</v>
      </c>
      <c r="E11">
        <v>5</v>
      </c>
      <c r="F11" s="5">
        <v>44699</v>
      </c>
      <c r="G11" s="6">
        <v>0.41583333333333333</v>
      </c>
    </row>
    <row r="12" spans="1:7" hidden="1" x14ac:dyDescent="0.25">
      <c r="A12">
        <v>28</v>
      </c>
      <c r="B12">
        <v>1</v>
      </c>
      <c r="C12">
        <v>5</v>
      </c>
      <c r="D12">
        <v>4</v>
      </c>
      <c r="E12">
        <v>5</v>
      </c>
      <c r="F12" s="5">
        <v>44699</v>
      </c>
      <c r="G12" s="6">
        <v>0.41583333333333333</v>
      </c>
    </row>
    <row r="13" spans="1:7" hidden="1" x14ac:dyDescent="0.25">
      <c r="A13">
        <v>29</v>
      </c>
      <c r="B13">
        <v>1</v>
      </c>
      <c r="C13">
        <v>6</v>
      </c>
      <c r="F13" s="5">
        <v>44699</v>
      </c>
      <c r="G13" s="6">
        <v>0.41583333333333333</v>
      </c>
    </row>
    <row r="14" spans="1:7" hidden="1" x14ac:dyDescent="0.25">
      <c r="A14">
        <v>30</v>
      </c>
      <c r="B14">
        <v>1</v>
      </c>
      <c r="C14">
        <v>6</v>
      </c>
      <c r="D14">
        <v>3</v>
      </c>
      <c r="E14">
        <v>6</v>
      </c>
      <c r="F14" s="5">
        <v>44699</v>
      </c>
      <c r="G14" s="6">
        <v>0.41589120370370369</v>
      </c>
    </row>
    <row r="15" spans="1:7" hidden="1" x14ac:dyDescent="0.25">
      <c r="A15">
        <v>31</v>
      </c>
      <c r="B15">
        <v>1</v>
      </c>
      <c r="C15">
        <v>7</v>
      </c>
      <c r="F15" s="5">
        <v>44699</v>
      </c>
      <c r="G15" s="6">
        <v>0.41589120370370369</v>
      </c>
    </row>
    <row r="16" spans="1:7" hidden="1" x14ac:dyDescent="0.25">
      <c r="A16">
        <v>33</v>
      </c>
      <c r="B16">
        <v>1</v>
      </c>
      <c r="C16">
        <v>7</v>
      </c>
      <c r="D16">
        <v>4</v>
      </c>
      <c r="E16">
        <v>7</v>
      </c>
      <c r="F16" s="5">
        <v>44699</v>
      </c>
      <c r="G16" s="6">
        <v>0.41596064814814815</v>
      </c>
    </row>
    <row r="17" spans="1:7" hidden="1" x14ac:dyDescent="0.25">
      <c r="A17">
        <v>34</v>
      </c>
      <c r="B17">
        <v>1</v>
      </c>
      <c r="C17">
        <v>8</v>
      </c>
      <c r="F17" s="5">
        <v>44699</v>
      </c>
      <c r="G17" s="6">
        <v>0.41596064814814815</v>
      </c>
    </row>
    <row r="18" spans="1:7" hidden="1" x14ac:dyDescent="0.25">
      <c r="A18">
        <v>35</v>
      </c>
      <c r="B18">
        <v>1</v>
      </c>
      <c r="C18">
        <v>8</v>
      </c>
      <c r="D18">
        <v>2</v>
      </c>
      <c r="E18">
        <v>8</v>
      </c>
      <c r="F18" s="5">
        <v>44699</v>
      </c>
      <c r="G18" s="6">
        <v>0.41600694444444447</v>
      </c>
    </row>
    <row r="19" spans="1:7" x14ac:dyDescent="0.25">
      <c r="A19">
        <v>36</v>
      </c>
      <c r="B19">
        <v>2</v>
      </c>
      <c r="C19">
        <v>1</v>
      </c>
      <c r="F19" s="5">
        <v>44699</v>
      </c>
      <c r="G19" s="6">
        <v>0.4160300925925926</v>
      </c>
    </row>
    <row r="20" spans="1:7" x14ac:dyDescent="0.25">
      <c r="A20">
        <v>37</v>
      </c>
      <c r="B20">
        <v>2</v>
      </c>
      <c r="C20">
        <v>1</v>
      </c>
      <c r="D20">
        <v>1</v>
      </c>
      <c r="E20">
        <v>1</v>
      </c>
      <c r="F20" s="5">
        <v>44699</v>
      </c>
      <c r="G20" s="6">
        <v>0.41612268518518519</v>
      </c>
    </row>
    <row r="21" spans="1:7" x14ac:dyDescent="0.25">
      <c r="A21">
        <v>39</v>
      </c>
      <c r="B21">
        <v>2</v>
      </c>
      <c r="C21">
        <v>2</v>
      </c>
      <c r="F21" s="5">
        <v>44699</v>
      </c>
      <c r="G21" s="6">
        <v>0.41612268518518519</v>
      </c>
    </row>
    <row r="22" spans="1:7" x14ac:dyDescent="0.25">
      <c r="A22">
        <v>44</v>
      </c>
      <c r="B22">
        <v>2</v>
      </c>
      <c r="C22">
        <v>2</v>
      </c>
      <c r="D22">
        <v>3</v>
      </c>
      <c r="E22">
        <v>2</v>
      </c>
      <c r="F22" s="5">
        <v>44699</v>
      </c>
      <c r="G22" s="6">
        <v>0.41630787037037037</v>
      </c>
    </row>
    <row r="23" spans="1:7" x14ac:dyDescent="0.25">
      <c r="A23">
        <v>45</v>
      </c>
      <c r="B23">
        <v>2</v>
      </c>
      <c r="C23">
        <v>3</v>
      </c>
      <c r="F23" s="5">
        <v>44699</v>
      </c>
      <c r="G23" s="6">
        <v>0.41630787037037037</v>
      </c>
    </row>
    <row r="24" spans="1:7" x14ac:dyDescent="0.25">
      <c r="A24">
        <v>49</v>
      </c>
      <c r="B24">
        <v>2</v>
      </c>
      <c r="C24">
        <v>3</v>
      </c>
      <c r="D24">
        <v>5</v>
      </c>
      <c r="E24">
        <v>3</v>
      </c>
      <c r="F24" s="5">
        <v>44699</v>
      </c>
      <c r="G24" s="6">
        <v>0.41642361111111109</v>
      </c>
    </row>
    <row r="25" spans="1:7" x14ac:dyDescent="0.25">
      <c r="A25">
        <v>50</v>
      </c>
      <c r="B25">
        <v>2</v>
      </c>
      <c r="C25">
        <v>4</v>
      </c>
      <c r="F25" s="5">
        <v>44699</v>
      </c>
      <c r="G25" s="6">
        <v>0.41643518518518513</v>
      </c>
    </row>
    <row r="26" spans="1:7" x14ac:dyDescent="0.25">
      <c r="A26">
        <v>59</v>
      </c>
      <c r="B26">
        <v>2</v>
      </c>
      <c r="C26">
        <v>4</v>
      </c>
      <c r="D26">
        <v>4</v>
      </c>
      <c r="E26">
        <v>4</v>
      </c>
      <c r="F26" s="5">
        <v>44699</v>
      </c>
      <c r="G26" s="6">
        <v>0.41665509259259265</v>
      </c>
    </row>
    <row r="27" spans="1:7" x14ac:dyDescent="0.25">
      <c r="A27">
        <v>60</v>
      </c>
      <c r="B27">
        <v>2</v>
      </c>
      <c r="C27">
        <v>5</v>
      </c>
      <c r="F27" s="5">
        <v>44699</v>
      </c>
      <c r="G27" s="6">
        <v>0.41665509259259265</v>
      </c>
    </row>
    <row r="28" spans="1:7" x14ac:dyDescent="0.25">
      <c r="A28">
        <v>68</v>
      </c>
      <c r="B28">
        <v>2</v>
      </c>
      <c r="C28">
        <v>5</v>
      </c>
      <c r="D28">
        <v>4</v>
      </c>
      <c r="E28">
        <v>5</v>
      </c>
      <c r="F28" s="5">
        <v>44699</v>
      </c>
      <c r="G28" s="6">
        <v>0.41674768518518518</v>
      </c>
    </row>
    <row r="29" spans="1:7" x14ac:dyDescent="0.25">
      <c r="A29">
        <v>69</v>
      </c>
      <c r="B29">
        <v>2</v>
      </c>
      <c r="C29">
        <v>6</v>
      </c>
      <c r="F29" s="5">
        <v>44699</v>
      </c>
      <c r="G29" s="6">
        <v>0.41674768518518518</v>
      </c>
    </row>
    <row r="30" spans="1:7" x14ac:dyDescent="0.25">
      <c r="A30">
        <v>74</v>
      </c>
      <c r="B30">
        <v>2</v>
      </c>
      <c r="C30">
        <v>6</v>
      </c>
      <c r="D30">
        <v>3</v>
      </c>
      <c r="E30">
        <v>6</v>
      </c>
      <c r="F30" s="5">
        <v>44699</v>
      </c>
      <c r="G30" s="6">
        <v>0.41682870370370373</v>
      </c>
    </row>
    <row r="31" spans="1:7" x14ac:dyDescent="0.25">
      <c r="A31">
        <v>75</v>
      </c>
      <c r="B31">
        <v>2</v>
      </c>
      <c r="C31">
        <v>7</v>
      </c>
      <c r="F31" s="5">
        <v>44699</v>
      </c>
      <c r="G31" s="6">
        <v>0.41682870370370373</v>
      </c>
    </row>
    <row r="32" spans="1:7" x14ac:dyDescent="0.25">
      <c r="A32">
        <v>79</v>
      </c>
      <c r="B32">
        <v>2</v>
      </c>
      <c r="C32">
        <v>7</v>
      </c>
      <c r="D32">
        <v>0</v>
      </c>
      <c r="E32">
        <v>7</v>
      </c>
      <c r="F32" s="5">
        <v>44699</v>
      </c>
      <c r="G32" s="6">
        <v>0.41693287037037036</v>
      </c>
    </row>
    <row r="33" spans="1:7" x14ac:dyDescent="0.25">
      <c r="A33">
        <v>81</v>
      </c>
      <c r="B33">
        <v>2</v>
      </c>
      <c r="C33">
        <v>8</v>
      </c>
      <c r="F33" s="5">
        <v>44699</v>
      </c>
      <c r="G33" s="6">
        <v>0.41696759259259258</v>
      </c>
    </row>
    <row r="34" spans="1:7" x14ac:dyDescent="0.25">
      <c r="A34">
        <v>85</v>
      </c>
      <c r="B34">
        <v>2</v>
      </c>
      <c r="C34">
        <v>8</v>
      </c>
      <c r="D34">
        <v>5</v>
      </c>
      <c r="E34">
        <v>8</v>
      </c>
      <c r="F34" s="5">
        <v>44699</v>
      </c>
      <c r="G34" s="6">
        <v>0.41706018518518517</v>
      </c>
    </row>
    <row r="35" spans="1:7" x14ac:dyDescent="0.25">
      <c r="A35">
        <v>46</v>
      </c>
      <c r="B35">
        <v>3</v>
      </c>
      <c r="C35">
        <v>1</v>
      </c>
      <c r="F35" s="5">
        <v>44699</v>
      </c>
      <c r="G35" s="6">
        <v>0.41631944444444446</v>
      </c>
    </row>
    <row r="36" spans="1:7" x14ac:dyDescent="0.25">
      <c r="A36">
        <v>87</v>
      </c>
      <c r="B36">
        <v>3</v>
      </c>
      <c r="C36">
        <v>1</v>
      </c>
      <c r="D36">
        <v>1</v>
      </c>
      <c r="E36">
        <v>1</v>
      </c>
      <c r="F36" s="5">
        <v>44699</v>
      </c>
      <c r="G36" s="6">
        <v>0.41733796296296299</v>
      </c>
    </row>
    <row r="37" spans="1:7" x14ac:dyDescent="0.25">
      <c r="A37">
        <v>88</v>
      </c>
      <c r="B37">
        <v>3</v>
      </c>
      <c r="C37">
        <v>2</v>
      </c>
      <c r="F37" s="5">
        <v>44699</v>
      </c>
      <c r="G37" s="6">
        <v>0.41733796296296299</v>
      </c>
    </row>
    <row r="38" spans="1:7" x14ac:dyDescent="0.25">
      <c r="A38">
        <v>92</v>
      </c>
      <c r="B38">
        <v>3</v>
      </c>
      <c r="C38">
        <v>2</v>
      </c>
      <c r="D38">
        <v>3</v>
      </c>
      <c r="E38">
        <v>2</v>
      </c>
      <c r="F38" s="5">
        <v>44699</v>
      </c>
      <c r="G38" s="6">
        <v>0.41770833333333335</v>
      </c>
    </row>
    <row r="39" spans="1:7" x14ac:dyDescent="0.25">
      <c r="A39">
        <v>93</v>
      </c>
      <c r="B39">
        <v>3</v>
      </c>
      <c r="C39">
        <v>3</v>
      </c>
      <c r="F39" s="5">
        <v>44699</v>
      </c>
      <c r="G39" s="6">
        <v>0.41770833333333335</v>
      </c>
    </row>
    <row r="40" spans="1:7" x14ac:dyDescent="0.25">
      <c r="A40">
        <v>94</v>
      </c>
      <c r="B40">
        <v>3</v>
      </c>
      <c r="C40">
        <v>3</v>
      </c>
      <c r="D40">
        <v>5</v>
      </c>
      <c r="E40">
        <v>3</v>
      </c>
      <c r="F40" s="5">
        <v>44699</v>
      </c>
      <c r="G40" s="6">
        <v>0.4177777777777778</v>
      </c>
    </row>
    <row r="41" spans="1:7" x14ac:dyDescent="0.25">
      <c r="A41">
        <v>95</v>
      </c>
      <c r="B41">
        <v>3</v>
      </c>
      <c r="C41">
        <v>4</v>
      </c>
      <c r="F41" s="5">
        <v>44699</v>
      </c>
      <c r="G41" s="6">
        <v>0.4177777777777778</v>
      </c>
    </row>
    <row r="42" spans="1:7" x14ac:dyDescent="0.25">
      <c r="A42">
        <v>100</v>
      </c>
      <c r="B42">
        <v>3</v>
      </c>
      <c r="C42">
        <v>4</v>
      </c>
      <c r="D42">
        <v>5</v>
      </c>
      <c r="E42">
        <v>4</v>
      </c>
      <c r="F42" s="5">
        <v>44699</v>
      </c>
      <c r="G42" s="6">
        <v>0.41789351851851847</v>
      </c>
    </row>
    <row r="43" spans="1:7" x14ac:dyDescent="0.25">
      <c r="A43">
        <v>101</v>
      </c>
      <c r="B43">
        <v>3</v>
      </c>
      <c r="C43">
        <v>5</v>
      </c>
      <c r="F43" s="5">
        <v>44699</v>
      </c>
      <c r="G43" s="6">
        <v>0.41789351851851847</v>
      </c>
    </row>
    <row r="44" spans="1:7" x14ac:dyDescent="0.25">
      <c r="A44">
        <v>106</v>
      </c>
      <c r="B44">
        <v>3</v>
      </c>
      <c r="C44">
        <v>5</v>
      </c>
      <c r="D44">
        <v>4</v>
      </c>
      <c r="E44">
        <v>5</v>
      </c>
      <c r="F44" s="5">
        <v>44699</v>
      </c>
      <c r="G44" s="6">
        <v>0.41802083333333334</v>
      </c>
    </row>
    <row r="45" spans="1:7" x14ac:dyDescent="0.25">
      <c r="A45">
        <v>107</v>
      </c>
      <c r="B45">
        <v>3</v>
      </c>
      <c r="C45">
        <v>6</v>
      </c>
      <c r="F45" s="5">
        <v>44699</v>
      </c>
      <c r="G45" s="6">
        <v>0.41803240740740738</v>
      </c>
    </row>
    <row r="46" spans="1:7" x14ac:dyDescent="0.25">
      <c r="A46">
        <v>110</v>
      </c>
      <c r="B46">
        <v>3</v>
      </c>
      <c r="C46">
        <v>6</v>
      </c>
      <c r="D46">
        <v>2</v>
      </c>
      <c r="E46">
        <v>6</v>
      </c>
      <c r="F46" s="5">
        <v>44699</v>
      </c>
      <c r="G46" s="6">
        <v>0.41811342592592587</v>
      </c>
    </row>
    <row r="47" spans="1:7" x14ac:dyDescent="0.25">
      <c r="A47">
        <v>111</v>
      </c>
      <c r="B47">
        <v>3</v>
      </c>
      <c r="C47">
        <v>7</v>
      </c>
      <c r="F47" s="5">
        <v>44699</v>
      </c>
      <c r="G47" s="6">
        <v>0.41811342592592587</v>
      </c>
    </row>
    <row r="48" spans="1:7" x14ac:dyDescent="0.25">
      <c r="A48">
        <v>116</v>
      </c>
      <c r="B48">
        <v>3</v>
      </c>
      <c r="C48">
        <v>7</v>
      </c>
      <c r="D48">
        <v>4</v>
      </c>
      <c r="E48">
        <v>7</v>
      </c>
      <c r="F48" s="5">
        <v>44699</v>
      </c>
      <c r="G48" s="6">
        <v>0.4181597222222222</v>
      </c>
    </row>
    <row r="49" spans="1:7" x14ac:dyDescent="0.25">
      <c r="A49">
        <v>117</v>
      </c>
      <c r="B49">
        <v>3</v>
      </c>
      <c r="C49">
        <v>8</v>
      </c>
      <c r="F49" s="5">
        <v>44699</v>
      </c>
      <c r="G49" s="6">
        <v>0.4181597222222222</v>
      </c>
    </row>
    <row r="50" spans="1:7" x14ac:dyDescent="0.25">
      <c r="A50">
        <v>122</v>
      </c>
      <c r="B50">
        <v>3</v>
      </c>
      <c r="C50">
        <v>8</v>
      </c>
      <c r="D50">
        <v>5</v>
      </c>
      <c r="E50">
        <v>8</v>
      </c>
      <c r="F50" s="5">
        <v>44699</v>
      </c>
      <c r="G50" s="6">
        <v>0.41827546296296297</v>
      </c>
    </row>
    <row r="51" spans="1:7" x14ac:dyDescent="0.25">
      <c r="A51">
        <v>86</v>
      </c>
      <c r="B51">
        <v>4</v>
      </c>
      <c r="C51">
        <v>1</v>
      </c>
      <c r="F51" s="5">
        <v>44699</v>
      </c>
      <c r="G51" s="6">
        <v>0.4173263888888889</v>
      </c>
    </row>
    <row r="52" spans="1:7" x14ac:dyDescent="0.25">
      <c r="A52">
        <v>90</v>
      </c>
      <c r="B52">
        <v>4</v>
      </c>
      <c r="C52">
        <v>1</v>
      </c>
      <c r="D52">
        <v>1</v>
      </c>
      <c r="E52">
        <v>1</v>
      </c>
      <c r="F52" s="5">
        <v>44699</v>
      </c>
      <c r="G52" s="6">
        <v>0.41770833333333335</v>
      </c>
    </row>
    <row r="53" spans="1:7" x14ac:dyDescent="0.25">
      <c r="A53">
        <v>91</v>
      </c>
      <c r="B53">
        <v>4</v>
      </c>
      <c r="C53">
        <v>2</v>
      </c>
      <c r="F53" s="5">
        <v>44699</v>
      </c>
      <c r="G53" s="6">
        <v>0.41770833333333335</v>
      </c>
    </row>
    <row r="54" spans="1:7" x14ac:dyDescent="0.25">
      <c r="A54">
        <v>96</v>
      </c>
      <c r="B54">
        <v>4</v>
      </c>
      <c r="C54">
        <v>2</v>
      </c>
      <c r="D54">
        <v>1</v>
      </c>
      <c r="E54">
        <v>2</v>
      </c>
      <c r="F54" s="5">
        <v>44699</v>
      </c>
      <c r="G54" s="6">
        <v>0.4177777777777778</v>
      </c>
    </row>
    <row r="55" spans="1:7" x14ac:dyDescent="0.25">
      <c r="A55">
        <v>97</v>
      </c>
      <c r="B55">
        <v>4</v>
      </c>
      <c r="C55">
        <v>3</v>
      </c>
      <c r="F55" s="5">
        <v>44699</v>
      </c>
      <c r="G55" s="6">
        <v>0.4177777777777778</v>
      </c>
    </row>
    <row r="56" spans="1:7" x14ac:dyDescent="0.25">
      <c r="A56">
        <v>102</v>
      </c>
      <c r="B56">
        <v>4</v>
      </c>
      <c r="C56">
        <v>3</v>
      </c>
      <c r="D56">
        <v>1</v>
      </c>
      <c r="E56">
        <v>3</v>
      </c>
      <c r="F56" s="5">
        <v>44699</v>
      </c>
      <c r="G56" s="6">
        <v>0.41792824074074075</v>
      </c>
    </row>
    <row r="57" spans="1:7" x14ac:dyDescent="0.25">
      <c r="A57">
        <v>103</v>
      </c>
      <c r="B57">
        <v>4</v>
      </c>
      <c r="C57">
        <v>4</v>
      </c>
      <c r="F57" s="5">
        <v>44699</v>
      </c>
      <c r="G57" s="6">
        <v>0.41792824074074075</v>
      </c>
    </row>
    <row r="58" spans="1:7" x14ac:dyDescent="0.25">
      <c r="A58">
        <v>104</v>
      </c>
      <c r="B58">
        <v>4</v>
      </c>
      <c r="C58">
        <v>4</v>
      </c>
      <c r="D58">
        <v>3</v>
      </c>
      <c r="E58">
        <v>4</v>
      </c>
      <c r="F58" s="5">
        <v>44699</v>
      </c>
      <c r="G58" s="6">
        <v>0.41798611111111111</v>
      </c>
    </row>
    <row r="59" spans="1:7" x14ac:dyDescent="0.25">
      <c r="A59">
        <v>105</v>
      </c>
      <c r="B59">
        <v>4</v>
      </c>
      <c r="C59">
        <v>5</v>
      </c>
      <c r="F59" s="5">
        <v>44699</v>
      </c>
      <c r="G59" s="6">
        <v>0.41798611111111111</v>
      </c>
    </row>
    <row r="60" spans="1:7" x14ac:dyDescent="0.25">
      <c r="A60">
        <v>108</v>
      </c>
      <c r="B60">
        <v>4</v>
      </c>
      <c r="C60">
        <v>5</v>
      </c>
      <c r="D60">
        <v>2</v>
      </c>
      <c r="E60">
        <v>5</v>
      </c>
      <c r="F60" s="5">
        <v>44699</v>
      </c>
      <c r="G60" s="6">
        <v>0.41804398148148153</v>
      </c>
    </row>
    <row r="61" spans="1:7" x14ac:dyDescent="0.25">
      <c r="A61">
        <v>109</v>
      </c>
      <c r="B61">
        <v>4</v>
      </c>
      <c r="C61">
        <v>6</v>
      </c>
      <c r="F61" s="5">
        <v>44699</v>
      </c>
      <c r="G61" s="6">
        <v>0.41804398148148153</v>
      </c>
    </row>
    <row r="62" spans="1:7" x14ac:dyDescent="0.25">
      <c r="A62">
        <v>114</v>
      </c>
      <c r="B62">
        <v>4</v>
      </c>
      <c r="C62">
        <v>6</v>
      </c>
      <c r="D62">
        <v>4</v>
      </c>
      <c r="E62">
        <v>6</v>
      </c>
      <c r="F62" s="5">
        <v>44699</v>
      </c>
      <c r="G62" s="6">
        <v>0.4181597222222222</v>
      </c>
    </row>
    <row r="63" spans="1:7" x14ac:dyDescent="0.25">
      <c r="A63">
        <v>115</v>
      </c>
      <c r="B63">
        <v>4</v>
      </c>
      <c r="C63">
        <v>7</v>
      </c>
      <c r="F63" s="5">
        <v>44699</v>
      </c>
      <c r="G63" s="6">
        <v>0.4181597222222222</v>
      </c>
    </row>
    <row r="64" spans="1:7" x14ac:dyDescent="0.25">
      <c r="A64">
        <v>120</v>
      </c>
      <c r="B64">
        <v>4</v>
      </c>
      <c r="C64">
        <v>7</v>
      </c>
      <c r="D64">
        <v>4</v>
      </c>
      <c r="E64">
        <v>7</v>
      </c>
      <c r="F64" s="5">
        <v>44699</v>
      </c>
      <c r="G64" s="6">
        <v>0.41825231481481479</v>
      </c>
    </row>
    <row r="65" spans="1:7" x14ac:dyDescent="0.25">
      <c r="A65">
        <v>121</v>
      </c>
      <c r="B65">
        <v>4</v>
      </c>
      <c r="C65">
        <v>8</v>
      </c>
      <c r="F65" s="5">
        <v>44699</v>
      </c>
      <c r="G65" s="6">
        <v>0.41825231481481479</v>
      </c>
    </row>
    <row r="66" spans="1:7" x14ac:dyDescent="0.25">
      <c r="A66">
        <v>123</v>
      </c>
      <c r="B66">
        <v>4</v>
      </c>
      <c r="C66">
        <v>8</v>
      </c>
      <c r="D66">
        <v>4</v>
      </c>
      <c r="E66">
        <v>8</v>
      </c>
      <c r="F66" s="5">
        <v>44699</v>
      </c>
      <c r="G66" s="6">
        <v>0.41828703703703707</v>
      </c>
    </row>
    <row r="67" spans="1:7" x14ac:dyDescent="0.25">
      <c r="A67">
        <v>1</v>
      </c>
      <c r="B67">
        <v>5</v>
      </c>
      <c r="C67">
        <v>1</v>
      </c>
      <c r="F67" s="5">
        <v>44699</v>
      </c>
      <c r="G67" s="6">
        <v>0.41518518518518516</v>
      </c>
    </row>
    <row r="68" spans="1:7" x14ac:dyDescent="0.25">
      <c r="A68">
        <v>2</v>
      </c>
      <c r="B68">
        <v>5</v>
      </c>
      <c r="C68">
        <v>1</v>
      </c>
      <c r="D68">
        <v>2</v>
      </c>
      <c r="E68">
        <v>1</v>
      </c>
      <c r="F68" s="5">
        <v>44699</v>
      </c>
      <c r="G68" s="6">
        <v>0.41534722222222226</v>
      </c>
    </row>
    <row r="69" spans="1:7" x14ac:dyDescent="0.25">
      <c r="A69">
        <v>3</v>
      </c>
      <c r="B69">
        <v>5</v>
      </c>
      <c r="C69">
        <v>2</v>
      </c>
      <c r="F69" s="5">
        <v>44699</v>
      </c>
      <c r="G69" s="6">
        <v>0.41534722222222226</v>
      </c>
    </row>
    <row r="70" spans="1:7" x14ac:dyDescent="0.25">
      <c r="A70">
        <v>4</v>
      </c>
      <c r="B70">
        <v>5</v>
      </c>
      <c r="C70">
        <v>2</v>
      </c>
      <c r="D70">
        <v>3</v>
      </c>
      <c r="E70">
        <v>2</v>
      </c>
      <c r="F70" s="5">
        <v>44699</v>
      </c>
      <c r="G70" s="6">
        <v>0.41540509259259256</v>
      </c>
    </row>
    <row r="71" spans="1:7" x14ac:dyDescent="0.25">
      <c r="A71">
        <v>5</v>
      </c>
      <c r="B71">
        <v>5</v>
      </c>
      <c r="C71">
        <v>3</v>
      </c>
      <c r="F71" s="5">
        <v>44699</v>
      </c>
      <c r="G71" s="6">
        <v>0.41540509259259256</v>
      </c>
    </row>
    <row r="72" spans="1:7" x14ac:dyDescent="0.25">
      <c r="A72">
        <v>6</v>
      </c>
      <c r="B72">
        <v>5</v>
      </c>
      <c r="C72">
        <v>3</v>
      </c>
      <c r="D72">
        <v>2</v>
      </c>
      <c r="E72">
        <v>3</v>
      </c>
      <c r="F72" s="5">
        <v>44699</v>
      </c>
      <c r="G72" s="6">
        <v>0.41546296296296298</v>
      </c>
    </row>
    <row r="73" spans="1:7" x14ac:dyDescent="0.25">
      <c r="A73">
        <v>7</v>
      </c>
      <c r="B73">
        <v>5</v>
      </c>
      <c r="C73">
        <v>4</v>
      </c>
      <c r="F73" s="5">
        <v>44699</v>
      </c>
      <c r="G73" s="6">
        <v>0.41546296296296298</v>
      </c>
    </row>
    <row r="74" spans="1:7" x14ac:dyDescent="0.25">
      <c r="A74">
        <v>11</v>
      </c>
      <c r="B74">
        <v>5</v>
      </c>
      <c r="C74">
        <v>4</v>
      </c>
      <c r="D74">
        <v>3</v>
      </c>
      <c r="E74">
        <v>4</v>
      </c>
      <c r="F74" s="5">
        <v>44699</v>
      </c>
      <c r="G74" s="6">
        <v>0.41556712962962966</v>
      </c>
    </row>
    <row r="75" spans="1:7" x14ac:dyDescent="0.25">
      <c r="A75">
        <v>12</v>
      </c>
      <c r="B75">
        <v>5</v>
      </c>
      <c r="C75">
        <v>5</v>
      </c>
      <c r="F75" s="5">
        <v>44699</v>
      </c>
      <c r="G75" s="6">
        <v>0.41556712962962966</v>
      </c>
    </row>
    <row r="76" spans="1:7" x14ac:dyDescent="0.25">
      <c r="A76">
        <v>15</v>
      </c>
      <c r="B76">
        <v>5</v>
      </c>
      <c r="C76">
        <v>5</v>
      </c>
      <c r="D76">
        <v>3</v>
      </c>
      <c r="E76">
        <v>5</v>
      </c>
      <c r="F76" s="5">
        <v>44699</v>
      </c>
      <c r="G76" s="6">
        <v>0.41562499999999997</v>
      </c>
    </row>
    <row r="77" spans="1:7" x14ac:dyDescent="0.25">
      <c r="A77">
        <v>16</v>
      </c>
      <c r="B77">
        <v>5</v>
      </c>
      <c r="C77">
        <v>6</v>
      </c>
      <c r="F77" s="5">
        <v>44699</v>
      </c>
      <c r="G77" s="6">
        <v>0.41562499999999997</v>
      </c>
    </row>
    <row r="78" spans="1:7" x14ac:dyDescent="0.25">
      <c r="A78">
        <v>17</v>
      </c>
      <c r="B78">
        <v>5</v>
      </c>
      <c r="C78">
        <v>6</v>
      </c>
      <c r="D78">
        <v>3</v>
      </c>
      <c r="E78">
        <v>6</v>
      </c>
      <c r="F78" s="5">
        <v>44699</v>
      </c>
      <c r="G78" s="6">
        <v>0.41565972222222225</v>
      </c>
    </row>
    <row r="79" spans="1:7" x14ac:dyDescent="0.25">
      <c r="A79">
        <v>18</v>
      </c>
      <c r="B79">
        <v>5</v>
      </c>
      <c r="C79">
        <v>7</v>
      </c>
      <c r="F79" s="5">
        <v>44699</v>
      </c>
      <c r="G79" s="6">
        <v>0.41565972222222225</v>
      </c>
    </row>
    <row r="80" spans="1:7" x14ac:dyDescent="0.25">
      <c r="A80">
        <v>23</v>
      </c>
      <c r="B80">
        <v>5</v>
      </c>
      <c r="C80">
        <v>7</v>
      </c>
      <c r="D80">
        <v>0</v>
      </c>
      <c r="E80">
        <v>7</v>
      </c>
      <c r="F80" s="5">
        <v>44699</v>
      </c>
      <c r="G80" s="6">
        <v>0.41574074074074074</v>
      </c>
    </row>
    <row r="81" spans="1:7" x14ac:dyDescent="0.25">
      <c r="A81">
        <v>24</v>
      </c>
      <c r="B81">
        <v>5</v>
      </c>
      <c r="C81">
        <v>8</v>
      </c>
      <c r="F81" s="5">
        <v>44699</v>
      </c>
      <c r="G81" s="6">
        <v>0.41574074074074074</v>
      </c>
    </row>
    <row r="82" spans="1:7" x14ac:dyDescent="0.25">
      <c r="A82">
        <v>25</v>
      </c>
      <c r="B82">
        <v>5</v>
      </c>
      <c r="C82">
        <v>8</v>
      </c>
      <c r="D82">
        <v>5</v>
      </c>
      <c r="E82">
        <v>8</v>
      </c>
      <c r="F82" s="5">
        <v>44699</v>
      </c>
      <c r="G82" s="6">
        <v>0.41582175925925924</v>
      </c>
    </row>
    <row r="83" spans="1:7" x14ac:dyDescent="0.25">
      <c r="A83">
        <v>38</v>
      </c>
      <c r="B83">
        <v>6</v>
      </c>
      <c r="C83">
        <v>1</v>
      </c>
      <c r="F83" s="5">
        <v>44699</v>
      </c>
      <c r="G83" s="6">
        <v>0.41612268518518519</v>
      </c>
    </row>
    <row r="84" spans="1:7" x14ac:dyDescent="0.25">
      <c r="A84">
        <v>53</v>
      </c>
      <c r="B84">
        <v>6</v>
      </c>
      <c r="C84">
        <v>1</v>
      </c>
      <c r="D84">
        <v>1</v>
      </c>
      <c r="E84">
        <v>1</v>
      </c>
      <c r="F84" s="5">
        <v>44699</v>
      </c>
      <c r="G84" s="6">
        <v>0.41649305555555555</v>
      </c>
    </row>
    <row r="85" spans="1:7" x14ac:dyDescent="0.25">
      <c r="A85">
        <v>54</v>
      </c>
      <c r="B85">
        <v>6</v>
      </c>
      <c r="C85">
        <v>2</v>
      </c>
      <c r="F85" s="5">
        <v>44699</v>
      </c>
      <c r="G85" s="6">
        <v>0.41649305555555555</v>
      </c>
    </row>
    <row r="86" spans="1:7" x14ac:dyDescent="0.25">
      <c r="A86">
        <v>57</v>
      </c>
      <c r="B86">
        <v>6</v>
      </c>
      <c r="C86">
        <v>2</v>
      </c>
      <c r="D86">
        <v>2</v>
      </c>
      <c r="E86">
        <v>2</v>
      </c>
      <c r="F86" s="5">
        <v>44699</v>
      </c>
      <c r="G86" s="6">
        <v>0.41657407407407404</v>
      </c>
    </row>
    <row r="87" spans="1:7" x14ac:dyDescent="0.25">
      <c r="A87">
        <v>58</v>
      </c>
      <c r="B87">
        <v>6</v>
      </c>
      <c r="C87">
        <v>3</v>
      </c>
      <c r="F87" s="5">
        <v>44699</v>
      </c>
      <c r="G87" s="6">
        <v>0.41657407407407404</v>
      </c>
    </row>
    <row r="88" spans="1:7" x14ac:dyDescent="0.25">
      <c r="A88">
        <v>62</v>
      </c>
      <c r="B88">
        <v>6</v>
      </c>
      <c r="C88">
        <v>3</v>
      </c>
      <c r="D88">
        <v>1</v>
      </c>
      <c r="E88">
        <v>3</v>
      </c>
      <c r="F88" s="5">
        <v>44699</v>
      </c>
      <c r="G88" s="6">
        <v>0.41665509259259265</v>
      </c>
    </row>
    <row r="89" spans="1:7" x14ac:dyDescent="0.25">
      <c r="A89">
        <v>63</v>
      </c>
      <c r="B89">
        <v>6</v>
      </c>
      <c r="C89">
        <v>4</v>
      </c>
      <c r="F89" s="5">
        <v>44699</v>
      </c>
      <c r="G89" s="6">
        <v>0.41665509259259265</v>
      </c>
    </row>
    <row r="90" spans="1:7" x14ac:dyDescent="0.25">
      <c r="A90">
        <v>66</v>
      </c>
      <c r="B90">
        <v>6</v>
      </c>
      <c r="C90">
        <v>4</v>
      </c>
      <c r="D90">
        <v>4</v>
      </c>
      <c r="E90">
        <v>4</v>
      </c>
      <c r="F90" s="5">
        <v>44699</v>
      </c>
      <c r="G90" s="6">
        <v>0.41673611111111114</v>
      </c>
    </row>
    <row r="91" spans="1:7" x14ac:dyDescent="0.25">
      <c r="A91">
        <v>67</v>
      </c>
      <c r="B91">
        <v>6</v>
      </c>
      <c r="C91">
        <v>5</v>
      </c>
      <c r="F91" s="5">
        <v>44699</v>
      </c>
      <c r="G91" s="6">
        <v>0.41673611111111114</v>
      </c>
    </row>
    <row r="92" spans="1:7" x14ac:dyDescent="0.25">
      <c r="A92">
        <v>72</v>
      </c>
      <c r="B92">
        <v>6</v>
      </c>
      <c r="C92">
        <v>5</v>
      </c>
      <c r="D92">
        <v>3</v>
      </c>
      <c r="E92">
        <v>5</v>
      </c>
      <c r="F92" s="5">
        <v>44699</v>
      </c>
      <c r="G92" s="6">
        <v>0.4168055555555556</v>
      </c>
    </row>
    <row r="93" spans="1:7" x14ac:dyDescent="0.25">
      <c r="A93">
        <v>73</v>
      </c>
      <c r="B93">
        <v>6</v>
      </c>
      <c r="C93">
        <v>6</v>
      </c>
      <c r="F93" s="5">
        <v>44699</v>
      </c>
      <c r="G93" s="6">
        <v>0.4168055555555556</v>
      </c>
    </row>
    <row r="94" spans="1:7" x14ac:dyDescent="0.25">
      <c r="A94">
        <v>77</v>
      </c>
      <c r="B94">
        <v>6</v>
      </c>
      <c r="C94">
        <v>6</v>
      </c>
      <c r="D94">
        <v>3</v>
      </c>
      <c r="E94">
        <v>6</v>
      </c>
      <c r="F94" s="5">
        <v>44699</v>
      </c>
      <c r="G94" s="6">
        <v>0.41687500000000005</v>
      </c>
    </row>
    <row r="95" spans="1:7" x14ac:dyDescent="0.25">
      <c r="A95">
        <v>78</v>
      </c>
      <c r="B95">
        <v>6</v>
      </c>
      <c r="C95">
        <v>7</v>
      </c>
      <c r="F95" s="5">
        <v>44699</v>
      </c>
      <c r="G95" s="6">
        <v>0.41687500000000005</v>
      </c>
    </row>
    <row r="96" spans="1:7" x14ac:dyDescent="0.25">
      <c r="A96">
        <v>82</v>
      </c>
      <c r="B96">
        <v>6</v>
      </c>
      <c r="C96">
        <v>7</v>
      </c>
      <c r="D96">
        <v>4</v>
      </c>
      <c r="E96">
        <v>7</v>
      </c>
      <c r="F96" s="5">
        <v>44699</v>
      </c>
      <c r="G96" s="6">
        <v>0.41701388888888885</v>
      </c>
    </row>
    <row r="97" spans="1:7" x14ac:dyDescent="0.25">
      <c r="A97">
        <v>83</v>
      </c>
      <c r="B97">
        <v>6</v>
      </c>
      <c r="C97">
        <v>8</v>
      </c>
      <c r="F97" s="5">
        <v>44699</v>
      </c>
      <c r="G97" s="6">
        <v>0.41701388888888885</v>
      </c>
    </row>
    <row r="98" spans="1:7" x14ac:dyDescent="0.25">
      <c r="A98">
        <v>84</v>
      </c>
      <c r="B98">
        <v>6</v>
      </c>
      <c r="C98">
        <v>8</v>
      </c>
      <c r="D98">
        <v>4</v>
      </c>
      <c r="E98">
        <v>8</v>
      </c>
      <c r="F98" s="5">
        <v>44699</v>
      </c>
      <c r="G98" s="6">
        <v>0.41706018518518517</v>
      </c>
    </row>
    <row r="99" spans="1:7" x14ac:dyDescent="0.25">
      <c r="A99">
        <v>32</v>
      </c>
      <c r="B99">
        <v>7</v>
      </c>
      <c r="C99">
        <v>1</v>
      </c>
      <c r="F99" s="5">
        <v>44699</v>
      </c>
      <c r="G99" s="6">
        <v>0.41596064814814815</v>
      </c>
    </row>
    <row r="100" spans="1:7" x14ac:dyDescent="0.25">
      <c r="A100">
        <v>40</v>
      </c>
      <c r="B100">
        <v>7</v>
      </c>
      <c r="C100">
        <v>1</v>
      </c>
      <c r="D100">
        <v>2</v>
      </c>
      <c r="E100">
        <v>1</v>
      </c>
      <c r="F100" s="5">
        <v>44699</v>
      </c>
      <c r="G100" s="6">
        <v>0.41616898148148151</v>
      </c>
    </row>
    <row r="101" spans="1:7" x14ac:dyDescent="0.25">
      <c r="A101">
        <v>41</v>
      </c>
      <c r="B101">
        <v>7</v>
      </c>
      <c r="C101">
        <v>2</v>
      </c>
      <c r="F101" s="5">
        <v>44699</v>
      </c>
      <c r="G101" s="6">
        <v>0.41616898148148151</v>
      </c>
    </row>
    <row r="102" spans="1:7" x14ac:dyDescent="0.25">
      <c r="A102">
        <v>42</v>
      </c>
      <c r="B102">
        <v>7</v>
      </c>
      <c r="C102">
        <v>2</v>
      </c>
      <c r="D102">
        <v>4</v>
      </c>
      <c r="E102">
        <v>2</v>
      </c>
      <c r="F102" s="5">
        <v>44699</v>
      </c>
      <c r="G102" s="6">
        <v>0.41625000000000001</v>
      </c>
    </row>
    <row r="103" spans="1:7" x14ac:dyDescent="0.25">
      <c r="A103">
        <v>43</v>
      </c>
      <c r="B103">
        <v>7</v>
      </c>
      <c r="C103">
        <v>3</v>
      </c>
      <c r="F103" s="5">
        <v>44699</v>
      </c>
      <c r="G103" s="6">
        <v>0.41625000000000001</v>
      </c>
    </row>
    <row r="104" spans="1:7" x14ac:dyDescent="0.25">
      <c r="A104">
        <v>47</v>
      </c>
      <c r="B104">
        <v>7</v>
      </c>
      <c r="C104">
        <v>3</v>
      </c>
      <c r="D104">
        <v>5</v>
      </c>
      <c r="E104">
        <v>3</v>
      </c>
      <c r="F104" s="5">
        <v>44699</v>
      </c>
      <c r="G104" s="6">
        <v>0.41637731481481483</v>
      </c>
    </row>
    <row r="105" spans="1:7" x14ac:dyDescent="0.25">
      <c r="A105">
        <v>48</v>
      </c>
      <c r="B105">
        <v>7</v>
      </c>
      <c r="C105">
        <v>4</v>
      </c>
      <c r="F105" s="5">
        <v>44699</v>
      </c>
      <c r="G105" s="6">
        <v>0.41637731481481483</v>
      </c>
    </row>
    <row r="106" spans="1:7" x14ac:dyDescent="0.25">
      <c r="A106">
        <v>51</v>
      </c>
      <c r="B106">
        <v>7</v>
      </c>
      <c r="C106">
        <v>4</v>
      </c>
      <c r="D106">
        <v>4</v>
      </c>
      <c r="E106">
        <v>4</v>
      </c>
      <c r="F106" s="5">
        <v>44699</v>
      </c>
      <c r="G106" s="6">
        <v>0.41648148148148145</v>
      </c>
    </row>
    <row r="107" spans="1:7" x14ac:dyDescent="0.25">
      <c r="A107">
        <v>52</v>
      </c>
      <c r="B107">
        <v>7</v>
      </c>
      <c r="C107">
        <v>5</v>
      </c>
      <c r="F107" s="5">
        <v>44699</v>
      </c>
      <c r="G107" s="6">
        <v>0.41648148148148145</v>
      </c>
    </row>
    <row r="108" spans="1:7" x14ac:dyDescent="0.25">
      <c r="A108">
        <v>55</v>
      </c>
      <c r="B108">
        <v>7</v>
      </c>
      <c r="C108">
        <v>5</v>
      </c>
      <c r="D108">
        <v>3</v>
      </c>
      <c r="E108">
        <v>5</v>
      </c>
      <c r="F108" s="5">
        <v>44699</v>
      </c>
      <c r="G108" s="6">
        <v>0.4165625</v>
      </c>
    </row>
    <row r="109" spans="1:7" x14ac:dyDescent="0.25">
      <c r="A109">
        <v>56</v>
      </c>
      <c r="B109">
        <v>7</v>
      </c>
      <c r="C109">
        <v>6</v>
      </c>
      <c r="F109" s="5">
        <v>44699</v>
      </c>
      <c r="G109" s="6">
        <v>0.4165625</v>
      </c>
    </row>
    <row r="110" spans="1:7" x14ac:dyDescent="0.25">
      <c r="A110">
        <v>64</v>
      </c>
      <c r="B110">
        <v>7</v>
      </c>
      <c r="C110">
        <v>6</v>
      </c>
      <c r="D110">
        <v>3</v>
      </c>
      <c r="E110">
        <v>6</v>
      </c>
      <c r="F110" s="5">
        <v>44699</v>
      </c>
      <c r="G110" s="6">
        <v>0.41672453703703699</v>
      </c>
    </row>
    <row r="111" spans="1:7" x14ac:dyDescent="0.25">
      <c r="A111">
        <v>65</v>
      </c>
      <c r="B111">
        <v>7</v>
      </c>
      <c r="C111">
        <v>7</v>
      </c>
      <c r="F111" s="5">
        <v>44699</v>
      </c>
      <c r="G111" s="6">
        <v>0.41672453703703699</v>
      </c>
    </row>
    <row r="112" spans="1:7" x14ac:dyDescent="0.25">
      <c r="A112">
        <v>70</v>
      </c>
      <c r="B112">
        <v>7</v>
      </c>
      <c r="C112">
        <v>7</v>
      </c>
      <c r="D112">
        <v>4</v>
      </c>
      <c r="E112">
        <v>7</v>
      </c>
      <c r="F112" s="5">
        <v>44699</v>
      </c>
      <c r="G112" s="6">
        <v>0.41677083333333331</v>
      </c>
    </row>
    <row r="113" spans="1:7" x14ac:dyDescent="0.25">
      <c r="A113">
        <v>71</v>
      </c>
      <c r="B113">
        <v>7</v>
      </c>
      <c r="C113">
        <v>8</v>
      </c>
      <c r="F113" s="5">
        <v>44699</v>
      </c>
      <c r="G113" s="6">
        <v>0.41677083333333331</v>
      </c>
    </row>
    <row r="114" spans="1:7" x14ac:dyDescent="0.25">
      <c r="A114">
        <v>76</v>
      </c>
      <c r="B114">
        <v>7</v>
      </c>
      <c r="C114">
        <v>8</v>
      </c>
      <c r="D114">
        <v>5</v>
      </c>
      <c r="E114">
        <v>8</v>
      </c>
      <c r="F114" s="5">
        <v>44699</v>
      </c>
      <c r="G114" s="6">
        <v>0.41684027777777777</v>
      </c>
    </row>
    <row r="115" spans="1:7" x14ac:dyDescent="0.25">
      <c r="A115">
        <v>89</v>
      </c>
      <c r="B115">
        <v>12</v>
      </c>
      <c r="C115">
        <v>1</v>
      </c>
      <c r="F115" s="5">
        <v>44699</v>
      </c>
      <c r="G115" s="6">
        <v>0.4176273148148148</v>
      </c>
    </row>
    <row r="116" spans="1:7" x14ac:dyDescent="0.25">
      <c r="A116">
        <v>98</v>
      </c>
      <c r="B116">
        <v>12</v>
      </c>
      <c r="C116">
        <v>1</v>
      </c>
      <c r="D116">
        <v>1</v>
      </c>
      <c r="E116">
        <v>1</v>
      </c>
      <c r="F116" s="5">
        <v>44699</v>
      </c>
      <c r="G116" s="6">
        <v>0.41780092592592594</v>
      </c>
    </row>
    <row r="117" spans="1:7" x14ac:dyDescent="0.25">
      <c r="A117">
        <v>99</v>
      </c>
      <c r="B117">
        <v>12</v>
      </c>
      <c r="C117">
        <v>2</v>
      </c>
      <c r="F117" s="5">
        <v>44699</v>
      </c>
      <c r="G117" s="6">
        <v>0.41780092592592594</v>
      </c>
    </row>
    <row r="118" spans="1:7" x14ac:dyDescent="0.25">
      <c r="A118">
        <v>112</v>
      </c>
      <c r="B118">
        <v>12</v>
      </c>
      <c r="C118">
        <v>2</v>
      </c>
      <c r="D118">
        <v>1</v>
      </c>
      <c r="E118">
        <v>2</v>
      </c>
      <c r="F118" s="5">
        <v>44699</v>
      </c>
      <c r="G118" s="6">
        <v>0.41811342592592587</v>
      </c>
    </row>
    <row r="119" spans="1:7" x14ac:dyDescent="0.25">
      <c r="A119">
        <v>113</v>
      </c>
      <c r="B119">
        <v>12</v>
      </c>
      <c r="C119">
        <v>3</v>
      </c>
      <c r="F119" s="5">
        <v>44699</v>
      </c>
      <c r="G119" s="6">
        <v>0.41811342592592587</v>
      </c>
    </row>
    <row r="120" spans="1:7" x14ac:dyDescent="0.25">
      <c r="A120">
        <v>118</v>
      </c>
      <c r="B120">
        <v>12</v>
      </c>
      <c r="C120">
        <v>3</v>
      </c>
      <c r="D120">
        <v>5</v>
      </c>
      <c r="E120">
        <v>3</v>
      </c>
      <c r="F120" s="5">
        <v>44699</v>
      </c>
      <c r="G120" s="6">
        <v>0.41818287037037033</v>
      </c>
    </row>
    <row r="121" spans="1:7" x14ac:dyDescent="0.25">
      <c r="A121">
        <v>119</v>
      </c>
      <c r="B121">
        <v>12</v>
      </c>
      <c r="C121">
        <v>4</v>
      </c>
      <c r="F121" s="5">
        <v>44699</v>
      </c>
      <c r="G121" s="6">
        <v>0.41818287037037033</v>
      </c>
    </row>
    <row r="122" spans="1:7" x14ac:dyDescent="0.25">
      <c r="A122">
        <v>124</v>
      </c>
      <c r="B122">
        <v>12</v>
      </c>
      <c r="C122">
        <v>4</v>
      </c>
      <c r="D122">
        <v>4</v>
      </c>
      <c r="E122">
        <v>4</v>
      </c>
      <c r="F122" s="5">
        <v>44699</v>
      </c>
      <c r="G122" s="6">
        <v>0.4183101851851852</v>
      </c>
    </row>
    <row r="123" spans="1:7" x14ac:dyDescent="0.25">
      <c r="A123">
        <v>126</v>
      </c>
      <c r="B123">
        <v>12</v>
      </c>
      <c r="C123">
        <v>5</v>
      </c>
      <c r="F123" s="5">
        <v>44699</v>
      </c>
      <c r="G123" s="6">
        <v>0.41835648148148147</v>
      </c>
    </row>
    <row r="124" spans="1:7" x14ac:dyDescent="0.25">
      <c r="A124">
        <v>127</v>
      </c>
      <c r="B124">
        <v>12</v>
      </c>
      <c r="C124">
        <v>5</v>
      </c>
      <c r="D124">
        <v>0</v>
      </c>
      <c r="E124">
        <v>5</v>
      </c>
      <c r="F124" s="5">
        <v>44699</v>
      </c>
      <c r="G124" s="6">
        <v>0.41844907407407406</v>
      </c>
    </row>
    <row r="125" spans="1:7" x14ac:dyDescent="0.25">
      <c r="A125">
        <v>128</v>
      </c>
      <c r="B125">
        <v>12</v>
      </c>
      <c r="C125">
        <v>6</v>
      </c>
      <c r="F125" s="5">
        <v>44699</v>
      </c>
      <c r="G125" s="6">
        <v>0.41844907407407406</v>
      </c>
    </row>
    <row r="126" spans="1:7" x14ac:dyDescent="0.25">
      <c r="A126">
        <v>129</v>
      </c>
      <c r="B126">
        <v>12</v>
      </c>
      <c r="C126">
        <v>6</v>
      </c>
      <c r="D126">
        <v>3</v>
      </c>
      <c r="E126">
        <v>6</v>
      </c>
      <c r="F126" s="5">
        <v>44699</v>
      </c>
      <c r="G126" s="6">
        <v>0.4186111111111111</v>
      </c>
    </row>
    <row r="127" spans="1:7" x14ac:dyDescent="0.25">
      <c r="A127">
        <v>130</v>
      </c>
      <c r="B127">
        <v>12</v>
      </c>
      <c r="C127">
        <v>7</v>
      </c>
      <c r="F127" s="5">
        <v>44699</v>
      </c>
      <c r="G127" s="6">
        <v>0.41862268518518514</v>
      </c>
    </row>
    <row r="128" spans="1:7" x14ac:dyDescent="0.25">
      <c r="A128">
        <v>131</v>
      </c>
      <c r="B128">
        <v>12</v>
      </c>
      <c r="C128">
        <v>7</v>
      </c>
      <c r="D128">
        <v>0</v>
      </c>
      <c r="E128">
        <v>7</v>
      </c>
      <c r="F128" s="5">
        <v>44699</v>
      </c>
      <c r="G128" s="6">
        <v>0.41872685185185188</v>
      </c>
    </row>
    <row r="129" spans="1:7" x14ac:dyDescent="0.25">
      <c r="A129">
        <v>133</v>
      </c>
      <c r="B129">
        <v>12</v>
      </c>
      <c r="C129">
        <v>8</v>
      </c>
      <c r="F129" s="5">
        <v>44699</v>
      </c>
      <c r="G129" s="6">
        <v>0.41872685185185188</v>
      </c>
    </row>
    <row r="130" spans="1:7" x14ac:dyDescent="0.25">
      <c r="A130">
        <v>134</v>
      </c>
      <c r="B130">
        <v>12</v>
      </c>
      <c r="C130">
        <v>8</v>
      </c>
      <c r="D130">
        <v>4</v>
      </c>
      <c r="E130">
        <v>8</v>
      </c>
      <c r="F130" s="5">
        <v>44699</v>
      </c>
      <c r="G130" s="6">
        <v>0.41878472222222224</v>
      </c>
    </row>
  </sheetData>
  <autoFilter ref="A1:G130" xr:uid="{00000000-0009-0000-0000-000003000000}">
    <filterColumn colId="1">
      <filters>
        <filter val="12"/>
        <filter val="2"/>
        <filter val="3"/>
        <filter val="4"/>
        <filter val="5"/>
        <filter val="6"/>
        <filter val="7"/>
      </filters>
    </filterColumn>
    <sortState ref="A2:G135">
      <sortCondition ref="B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U17"/>
  <sheetViews>
    <sheetView workbookViewId="0">
      <selection activeCell="Q22" sqref="Q22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62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</row>
    <row r="2" spans="1:21" hidden="1" x14ac:dyDescent="0.25">
      <c r="A2">
        <v>2</v>
      </c>
      <c r="B2">
        <v>1</v>
      </c>
      <c r="K2" s="1">
        <v>3.9626157407407409E-2</v>
      </c>
    </row>
    <row r="3" spans="1:21" x14ac:dyDescent="0.25">
      <c r="A3">
        <v>7</v>
      </c>
      <c r="B3">
        <v>1</v>
      </c>
      <c r="C3" t="s">
        <v>10</v>
      </c>
      <c r="D3">
        <v>4</v>
      </c>
      <c r="E3" t="s">
        <v>9</v>
      </c>
      <c r="F3">
        <v>4</v>
      </c>
      <c r="G3" t="s">
        <v>11</v>
      </c>
      <c r="H3">
        <v>4</v>
      </c>
      <c r="I3" t="s">
        <v>13</v>
      </c>
      <c r="J3">
        <v>4</v>
      </c>
      <c r="K3" s="1">
        <v>4.036226851851852E-2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4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4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4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4</v>
      </c>
    </row>
    <row r="4" spans="1:21" hidden="1" x14ac:dyDescent="0.25">
      <c r="A4">
        <v>1</v>
      </c>
      <c r="B4">
        <v>2</v>
      </c>
      <c r="K4" s="1">
        <v>3.9589120370370372E-2</v>
      </c>
    </row>
    <row r="5" spans="1:21" x14ac:dyDescent="0.25">
      <c r="A5">
        <v>9</v>
      </c>
      <c r="B5">
        <v>2</v>
      </c>
      <c r="C5" t="s">
        <v>14</v>
      </c>
      <c r="D5">
        <v>5</v>
      </c>
      <c r="E5" t="s">
        <v>15</v>
      </c>
      <c r="F5">
        <v>4</v>
      </c>
      <c r="G5" t="s">
        <v>16</v>
      </c>
      <c r="H5">
        <v>3</v>
      </c>
      <c r="I5" t="s">
        <v>17</v>
      </c>
      <c r="J5">
        <v>3</v>
      </c>
      <c r="K5" s="1">
        <v>4.0733796296296296E-2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4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3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3</v>
      </c>
    </row>
    <row r="6" spans="1:21" hidden="1" x14ac:dyDescent="0.25">
      <c r="A6">
        <v>8</v>
      </c>
      <c r="B6">
        <v>3</v>
      </c>
      <c r="K6" s="1">
        <v>4.0579861111111108E-2</v>
      </c>
    </row>
    <row r="7" spans="1:21" x14ac:dyDescent="0.25">
      <c r="A7">
        <v>13</v>
      </c>
      <c r="B7">
        <v>3</v>
      </c>
      <c r="C7" t="s">
        <v>13</v>
      </c>
      <c r="D7">
        <v>5</v>
      </c>
      <c r="E7" t="s">
        <v>11</v>
      </c>
      <c r="F7">
        <v>4</v>
      </c>
      <c r="G7" t="s">
        <v>9</v>
      </c>
      <c r="H7">
        <v>4</v>
      </c>
      <c r="I7" t="s">
        <v>10</v>
      </c>
      <c r="J7">
        <v>4</v>
      </c>
      <c r="K7" s="1">
        <v>4.1114583333333336E-2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5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6</v>
      </c>
      <c r="Q7">
        <f>F7</f>
        <v>4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8</v>
      </c>
      <c r="S7">
        <f>H7</f>
        <v>4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7</v>
      </c>
      <c r="U7">
        <f>J7</f>
        <v>4</v>
      </c>
    </row>
    <row r="8" spans="1:21" hidden="1" x14ac:dyDescent="0.25">
      <c r="A8">
        <v>10</v>
      </c>
      <c r="B8">
        <v>4</v>
      </c>
      <c r="K8" s="1">
        <v>4.0736111111111105E-2</v>
      </c>
    </row>
    <row r="9" spans="1:21" x14ac:dyDescent="0.25">
      <c r="A9">
        <v>15</v>
      </c>
      <c r="B9">
        <v>4</v>
      </c>
      <c r="C9" t="s">
        <v>15</v>
      </c>
      <c r="D9">
        <v>5</v>
      </c>
      <c r="E9" t="s">
        <v>17</v>
      </c>
      <c r="F9">
        <v>4</v>
      </c>
      <c r="G9" t="s">
        <v>14</v>
      </c>
      <c r="H9">
        <v>3</v>
      </c>
      <c r="I9" t="s">
        <v>16</v>
      </c>
      <c r="J9">
        <v>3</v>
      </c>
      <c r="K9" s="1">
        <v>3.0439814814814815E-4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3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1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4</v>
      </c>
      <c r="S9">
        <f>H9</f>
        <v>3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2</v>
      </c>
      <c r="U9">
        <f>J9</f>
        <v>3</v>
      </c>
    </row>
    <row r="10" spans="1:21" hidden="1" x14ac:dyDescent="0.25">
      <c r="A10">
        <v>3</v>
      </c>
      <c r="B10">
        <v>5</v>
      </c>
      <c r="K10" s="1">
        <v>3.9762731481481482E-2</v>
      </c>
    </row>
    <row r="11" spans="1:21" x14ac:dyDescent="0.25">
      <c r="A11">
        <v>5</v>
      </c>
      <c r="B11">
        <v>5</v>
      </c>
      <c r="C11" t="s">
        <v>10</v>
      </c>
      <c r="D11">
        <v>5</v>
      </c>
      <c r="E11" t="s">
        <v>9</v>
      </c>
      <c r="F11">
        <v>5</v>
      </c>
      <c r="G11" t="s">
        <v>11</v>
      </c>
      <c r="H11">
        <v>5</v>
      </c>
      <c r="I11" t="s">
        <v>13</v>
      </c>
      <c r="J11">
        <v>5</v>
      </c>
      <c r="K11" s="1">
        <v>4.0071759259259258E-2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5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5</v>
      </c>
    </row>
    <row r="12" spans="1:21" hidden="1" x14ac:dyDescent="0.25">
      <c r="A12">
        <v>4</v>
      </c>
      <c r="B12">
        <v>6</v>
      </c>
      <c r="K12" s="1">
        <v>3.9895833333333332E-2</v>
      </c>
    </row>
    <row r="13" spans="1:21" x14ac:dyDescent="0.25">
      <c r="A13">
        <v>12</v>
      </c>
      <c r="B13">
        <v>6</v>
      </c>
      <c r="C13" t="s">
        <v>16</v>
      </c>
      <c r="D13">
        <v>5</v>
      </c>
      <c r="E13" t="s">
        <v>14</v>
      </c>
      <c r="F13">
        <v>5</v>
      </c>
      <c r="G13" t="s">
        <v>15</v>
      </c>
      <c r="H13">
        <v>2</v>
      </c>
      <c r="I13" t="s">
        <v>17</v>
      </c>
      <c r="J13">
        <v>4</v>
      </c>
      <c r="K13" s="1">
        <v>4.0902777777777781E-2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2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4</v>
      </c>
      <c r="Q13">
        <f>F13</f>
        <v>5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3</v>
      </c>
      <c r="S13">
        <f>H13</f>
        <v>2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4</v>
      </c>
    </row>
    <row r="14" spans="1:21" hidden="1" x14ac:dyDescent="0.25">
      <c r="A14">
        <v>6</v>
      </c>
      <c r="B14">
        <v>7</v>
      </c>
      <c r="K14" s="1">
        <v>4.0188657407407409E-2</v>
      </c>
    </row>
    <row r="15" spans="1:21" x14ac:dyDescent="0.25">
      <c r="A15">
        <v>11</v>
      </c>
      <c r="B15">
        <v>7</v>
      </c>
      <c r="C15" t="s">
        <v>11</v>
      </c>
      <c r="D15">
        <v>5</v>
      </c>
      <c r="E15" t="s">
        <v>10</v>
      </c>
      <c r="F15">
        <v>4</v>
      </c>
      <c r="G15" t="s">
        <v>9</v>
      </c>
      <c r="H15">
        <v>4</v>
      </c>
      <c r="I15" t="s">
        <v>13</v>
      </c>
      <c r="J15">
        <v>5</v>
      </c>
      <c r="K15" s="1">
        <v>4.0750000000000001E-2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6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7</v>
      </c>
      <c r="Q15">
        <f>F15</f>
        <v>4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8</v>
      </c>
      <c r="S15">
        <f>H15</f>
        <v>4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5</v>
      </c>
    </row>
    <row r="16" spans="1:21" hidden="1" x14ac:dyDescent="0.25">
      <c r="A16">
        <v>14</v>
      </c>
      <c r="B16">
        <v>12</v>
      </c>
      <c r="K16" s="1">
        <v>1.7708333333333335E-4</v>
      </c>
    </row>
    <row r="17" spans="1:21" x14ac:dyDescent="0.25">
      <c r="A17">
        <v>16</v>
      </c>
      <c r="B17">
        <v>12</v>
      </c>
      <c r="C17" t="s">
        <v>14</v>
      </c>
      <c r="D17">
        <v>3</v>
      </c>
      <c r="E17" t="s">
        <v>15</v>
      </c>
      <c r="F17">
        <v>3</v>
      </c>
      <c r="G17" t="s">
        <v>16</v>
      </c>
      <c r="H17">
        <v>4</v>
      </c>
      <c r="I17" t="s">
        <v>17</v>
      </c>
      <c r="J17">
        <v>5</v>
      </c>
      <c r="K17" s="1">
        <v>6.9212962962962967E-4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3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3</v>
      </c>
      <c r="Q17">
        <f>F17</f>
        <v>3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2</v>
      </c>
      <c r="S17">
        <f>H17</f>
        <v>4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U17">
        <f>J17</f>
        <v>5</v>
      </c>
    </row>
  </sheetData>
  <autoFilter ref="A1:K17" xr:uid="{7A10A4DA-FFB8-4D01-9B1A-6D8375083A3B}">
    <filterColumn colId="2">
      <customFilters>
        <customFilter operator="notEqual" val=" 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6349A-151F-4D43-9F69-5A7FC5D45EB9}">
  <sheetPr filterMode="1"/>
  <dimension ref="A1:U17"/>
  <sheetViews>
    <sheetView workbookViewId="0">
      <selection activeCell="R21" sqref="R2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62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</row>
    <row r="2" spans="1:21" hidden="1" x14ac:dyDescent="0.25">
      <c r="A2">
        <v>3</v>
      </c>
      <c r="B2">
        <v>1</v>
      </c>
      <c r="K2" s="1">
        <v>4.036226851851852E-2</v>
      </c>
    </row>
    <row r="3" spans="1:21" x14ac:dyDescent="0.25">
      <c r="A3">
        <v>4</v>
      </c>
      <c r="B3">
        <v>1</v>
      </c>
      <c r="C3" t="s">
        <v>14</v>
      </c>
      <c r="D3">
        <v>4</v>
      </c>
      <c r="E3" t="s">
        <v>15</v>
      </c>
      <c r="F3">
        <v>4</v>
      </c>
      <c r="G3" t="s">
        <v>16</v>
      </c>
      <c r="H3">
        <v>4</v>
      </c>
      <c r="I3" t="s">
        <v>17</v>
      </c>
      <c r="J3">
        <v>4</v>
      </c>
      <c r="K3" s="1">
        <v>4.0489583333333336E-2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4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4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4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4</v>
      </c>
    </row>
    <row r="4" spans="1:21" hidden="1" x14ac:dyDescent="0.25">
      <c r="A4">
        <v>5</v>
      </c>
      <c r="B4">
        <v>2</v>
      </c>
      <c r="K4" s="1">
        <v>4.0734953703703704E-2</v>
      </c>
    </row>
    <row r="5" spans="1:21" x14ac:dyDescent="0.25">
      <c r="A5">
        <v>9</v>
      </c>
      <c r="B5">
        <v>2</v>
      </c>
      <c r="C5" t="s">
        <v>10</v>
      </c>
      <c r="D5">
        <v>5</v>
      </c>
      <c r="E5" t="s">
        <v>9</v>
      </c>
      <c r="F5">
        <v>4</v>
      </c>
      <c r="G5" t="s">
        <v>11</v>
      </c>
      <c r="H5">
        <v>4</v>
      </c>
      <c r="I5" t="s">
        <v>13</v>
      </c>
      <c r="J5">
        <v>3</v>
      </c>
      <c r="K5" s="1">
        <v>4.1025462962962965E-2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4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4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3</v>
      </c>
    </row>
    <row r="6" spans="1:21" hidden="1" x14ac:dyDescent="0.25">
      <c r="A6">
        <v>10</v>
      </c>
      <c r="B6">
        <v>3</v>
      </c>
      <c r="K6" s="1">
        <v>4.1114583333333336E-2</v>
      </c>
    </row>
    <row r="7" spans="1:21" x14ac:dyDescent="0.25">
      <c r="A7">
        <v>12</v>
      </c>
      <c r="B7">
        <v>3</v>
      </c>
      <c r="C7" t="s">
        <v>17</v>
      </c>
      <c r="D7">
        <v>5</v>
      </c>
      <c r="E7" t="s">
        <v>16</v>
      </c>
      <c r="F7">
        <v>5</v>
      </c>
      <c r="G7" t="s">
        <v>15</v>
      </c>
      <c r="H7">
        <v>3</v>
      </c>
      <c r="I7" t="s">
        <v>14</v>
      </c>
      <c r="J7">
        <v>3</v>
      </c>
      <c r="K7" s="1">
        <v>4.1321759259259259E-2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1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2</v>
      </c>
      <c r="Q7">
        <f>F7</f>
        <v>5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3</v>
      </c>
      <c r="S7">
        <f>H7</f>
        <v>3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4</v>
      </c>
      <c r="U7">
        <f>J7</f>
        <v>3</v>
      </c>
    </row>
    <row r="8" spans="1:21" hidden="1" x14ac:dyDescent="0.25">
      <c r="A8">
        <v>13</v>
      </c>
      <c r="B8">
        <v>4</v>
      </c>
      <c r="K8" s="1">
        <v>3.0555555555555555E-4</v>
      </c>
    </row>
    <row r="9" spans="1:21" x14ac:dyDescent="0.25">
      <c r="A9">
        <v>14</v>
      </c>
      <c r="B9">
        <v>4</v>
      </c>
      <c r="C9" t="s">
        <v>11</v>
      </c>
      <c r="D9">
        <v>5</v>
      </c>
      <c r="E9" t="s">
        <v>10</v>
      </c>
      <c r="F9">
        <v>4</v>
      </c>
      <c r="G9" t="s">
        <v>9</v>
      </c>
      <c r="H9">
        <v>3</v>
      </c>
      <c r="I9" t="s">
        <v>13</v>
      </c>
      <c r="J9">
        <v>4</v>
      </c>
      <c r="K9" s="1">
        <v>6.5972222222222213E-4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6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7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8</v>
      </c>
      <c r="S9">
        <f>H9</f>
        <v>3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4</v>
      </c>
    </row>
    <row r="10" spans="1:21" hidden="1" x14ac:dyDescent="0.25">
      <c r="A10">
        <v>1</v>
      </c>
      <c r="B10">
        <v>5</v>
      </c>
      <c r="K10" s="1">
        <v>4.0072916666666666E-2</v>
      </c>
    </row>
    <row r="11" spans="1:21" x14ac:dyDescent="0.25">
      <c r="A11">
        <v>2</v>
      </c>
      <c r="B11">
        <v>5</v>
      </c>
      <c r="C11" t="s">
        <v>14</v>
      </c>
      <c r="D11">
        <v>1</v>
      </c>
      <c r="E11" t="s">
        <v>15</v>
      </c>
      <c r="F11">
        <v>1</v>
      </c>
      <c r="G11" t="s">
        <v>16</v>
      </c>
      <c r="H11">
        <v>5</v>
      </c>
      <c r="I11" t="s">
        <v>17</v>
      </c>
      <c r="J11">
        <v>5</v>
      </c>
      <c r="K11" s="1">
        <v>4.018055555555556E-2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1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1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5</v>
      </c>
    </row>
    <row r="12" spans="1:21" hidden="1" x14ac:dyDescent="0.25">
      <c r="A12">
        <v>7</v>
      </c>
      <c r="B12">
        <v>6</v>
      </c>
      <c r="K12" s="1">
        <v>4.0902777777777781E-2</v>
      </c>
    </row>
    <row r="13" spans="1:21" x14ac:dyDescent="0.25">
      <c r="A13">
        <v>11</v>
      </c>
      <c r="B13">
        <v>6</v>
      </c>
      <c r="C13" t="s">
        <v>10</v>
      </c>
      <c r="D13">
        <v>5</v>
      </c>
      <c r="E13" t="s">
        <v>9</v>
      </c>
      <c r="F13">
        <v>5</v>
      </c>
      <c r="G13" t="s">
        <v>11</v>
      </c>
      <c r="H13">
        <v>4</v>
      </c>
      <c r="I13" t="s">
        <v>13</v>
      </c>
      <c r="J13">
        <v>5</v>
      </c>
      <c r="K13" s="1">
        <v>4.1121527777777785E-2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5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4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5</v>
      </c>
    </row>
    <row r="14" spans="1:21" hidden="1" x14ac:dyDescent="0.25">
      <c r="A14">
        <v>6</v>
      </c>
      <c r="B14">
        <v>7</v>
      </c>
      <c r="K14" s="1">
        <v>4.0751157407407403E-2</v>
      </c>
    </row>
    <row r="15" spans="1:21" x14ac:dyDescent="0.25">
      <c r="A15">
        <v>8</v>
      </c>
      <c r="B15">
        <v>7</v>
      </c>
      <c r="C15" t="s">
        <v>14</v>
      </c>
      <c r="D15">
        <v>5</v>
      </c>
      <c r="E15" t="s">
        <v>15</v>
      </c>
      <c r="F15">
        <v>4</v>
      </c>
      <c r="G15" t="s">
        <v>16</v>
      </c>
      <c r="H15">
        <v>3</v>
      </c>
      <c r="I15" t="s">
        <v>17</v>
      </c>
      <c r="J15">
        <v>5</v>
      </c>
      <c r="K15" s="1">
        <v>4.0958333333333333E-2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4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3</v>
      </c>
      <c r="Q15">
        <f>F15</f>
        <v>4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2</v>
      </c>
      <c r="S15">
        <f>H15</f>
        <v>3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5</v>
      </c>
    </row>
    <row r="16" spans="1:21" hidden="1" x14ac:dyDescent="0.25">
      <c r="A16">
        <v>15</v>
      </c>
      <c r="B16">
        <v>12</v>
      </c>
      <c r="K16" s="1">
        <v>6.9328703703703696E-4</v>
      </c>
    </row>
    <row r="17" spans="1:21" x14ac:dyDescent="0.25">
      <c r="A17">
        <v>16</v>
      </c>
      <c r="B17">
        <v>12</v>
      </c>
      <c r="C17" t="s">
        <v>10</v>
      </c>
      <c r="D17">
        <v>3</v>
      </c>
      <c r="E17" t="s">
        <v>9</v>
      </c>
      <c r="F17">
        <v>2</v>
      </c>
      <c r="G17" t="s">
        <v>11</v>
      </c>
      <c r="H17">
        <v>4</v>
      </c>
      <c r="I17" t="s">
        <v>13</v>
      </c>
      <c r="J17">
        <v>5</v>
      </c>
      <c r="K17" s="1">
        <v>9.629629629629631E-4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3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8</v>
      </c>
      <c r="Q17">
        <f>F17</f>
        <v>2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4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5</v>
      </c>
    </row>
  </sheetData>
  <autoFilter ref="A1:K17" xr:uid="{BF2403FD-D4AB-44EF-8291-72366862FCAC}">
    <filterColumn colId="2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Choices menus</vt:lpstr>
      <vt:lpstr>Utenti bambini</vt:lpstr>
      <vt:lpstr>Utente_eliminato_sostegno</vt:lpstr>
      <vt:lpstr>Logic test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Caliari</dc:creator>
  <cp:lastModifiedBy>Daniele Caliari</cp:lastModifiedBy>
  <dcterms:created xsi:type="dcterms:W3CDTF">2022-05-18T14:20:03Z</dcterms:created>
  <dcterms:modified xsi:type="dcterms:W3CDTF">2023-06-22T09:41:20Z</dcterms:modified>
</cp:coreProperties>
</file>