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5EED0B98-696F-42C7-A432-E0682917B87B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2" r:id="rId1"/>
    <sheet name="Logic test" sheetId="3" r:id="rId2"/>
    <sheet name="Utenti bambini" sheetId="1" r:id="rId3"/>
    <sheet name="Legenda" sheetId="4" r:id="rId4"/>
    <sheet name="Slider1" sheetId="5" r:id="rId5"/>
    <sheet name="Slider2" sheetId="6" r:id="rId6"/>
  </sheets>
  <definedNames>
    <definedName name="_xlnm._FilterDatabase" localSheetId="0" hidden="1">'Choices menus'!$A$1:$S$369</definedName>
    <definedName name="_xlnm._FilterDatabase" localSheetId="1" hidden="1">'Logic test'!$A$1:$G$129</definedName>
    <definedName name="_xlnm._FilterDatabase" localSheetId="4" hidden="1">Slider1!$A$1:$K$17</definedName>
    <definedName name="_xlnm._FilterDatabase" localSheetId="5" hidden="1">Slider2!$A$1:$K$17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7" i="6" l="1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369" i="2" l="1"/>
  <c r="Q369" i="2"/>
  <c r="P369" i="2"/>
  <c r="O369" i="2"/>
  <c r="L369" i="2"/>
  <c r="S369" i="2" s="1"/>
  <c r="R367" i="2"/>
  <c r="Q367" i="2"/>
  <c r="P367" i="2"/>
  <c r="O367" i="2"/>
  <c r="L367" i="2"/>
  <c r="S367" i="2" s="1"/>
  <c r="R365" i="2"/>
  <c r="Q365" i="2"/>
  <c r="P365" i="2"/>
  <c r="O365" i="2"/>
  <c r="L365" i="2"/>
  <c r="S365" i="2" s="1"/>
  <c r="R363" i="2"/>
  <c r="Q363" i="2"/>
  <c r="P363" i="2"/>
  <c r="O363" i="2"/>
  <c r="L363" i="2"/>
  <c r="S363" i="2" s="1"/>
  <c r="R361" i="2"/>
  <c r="Q361" i="2"/>
  <c r="P361" i="2"/>
  <c r="O361" i="2"/>
  <c r="L361" i="2"/>
  <c r="S361" i="2" s="1"/>
  <c r="R359" i="2"/>
  <c r="Q359" i="2"/>
  <c r="P359" i="2"/>
  <c r="O359" i="2"/>
  <c r="L359" i="2"/>
  <c r="S359" i="2" s="1"/>
  <c r="R357" i="2"/>
  <c r="Q357" i="2"/>
  <c r="P357" i="2"/>
  <c r="O357" i="2"/>
  <c r="L357" i="2"/>
  <c r="S357" i="2" s="1"/>
  <c r="R355" i="2"/>
  <c r="Q355" i="2"/>
  <c r="P355" i="2"/>
  <c r="O355" i="2"/>
  <c r="L355" i="2"/>
  <c r="S355" i="2" s="1"/>
  <c r="R353" i="2"/>
  <c r="Q353" i="2"/>
  <c r="P353" i="2"/>
  <c r="O353" i="2"/>
  <c r="L353" i="2"/>
  <c r="S353" i="2" s="1"/>
  <c r="R351" i="2"/>
  <c r="Q351" i="2"/>
  <c r="P351" i="2"/>
  <c r="O351" i="2"/>
  <c r="L351" i="2"/>
  <c r="S351" i="2" s="1"/>
  <c r="R349" i="2"/>
  <c r="Q349" i="2"/>
  <c r="P349" i="2"/>
  <c r="O349" i="2"/>
  <c r="L349" i="2"/>
  <c r="S349" i="2" s="1"/>
  <c r="R347" i="2"/>
  <c r="Q347" i="2"/>
  <c r="P347" i="2"/>
  <c r="O347" i="2"/>
  <c r="L347" i="2"/>
  <c r="S347" i="2" s="1"/>
  <c r="R345" i="2"/>
  <c r="Q345" i="2"/>
  <c r="P345" i="2"/>
  <c r="O345" i="2"/>
  <c r="L345" i="2"/>
  <c r="S345" i="2" s="1"/>
  <c r="R343" i="2"/>
  <c r="Q343" i="2"/>
  <c r="P343" i="2"/>
  <c r="O343" i="2"/>
  <c r="L343" i="2"/>
  <c r="S343" i="2" s="1"/>
  <c r="R341" i="2"/>
  <c r="Q341" i="2"/>
  <c r="P341" i="2"/>
  <c r="O341" i="2"/>
  <c r="L341" i="2"/>
  <c r="S341" i="2" s="1"/>
  <c r="R339" i="2"/>
  <c r="Q339" i="2"/>
  <c r="P339" i="2"/>
  <c r="O339" i="2"/>
  <c r="L339" i="2"/>
  <c r="S339" i="2" s="1"/>
  <c r="R337" i="2"/>
  <c r="Q337" i="2"/>
  <c r="P337" i="2"/>
  <c r="O337" i="2"/>
  <c r="L337" i="2"/>
  <c r="S337" i="2" s="1"/>
  <c r="R335" i="2"/>
  <c r="Q335" i="2"/>
  <c r="P335" i="2"/>
  <c r="O335" i="2"/>
  <c r="L335" i="2"/>
  <c r="S335" i="2" s="1"/>
  <c r="R333" i="2"/>
  <c r="Q333" i="2"/>
  <c r="P333" i="2"/>
  <c r="O333" i="2"/>
  <c r="L333" i="2"/>
  <c r="S333" i="2" s="1"/>
  <c r="R331" i="2"/>
  <c r="Q331" i="2"/>
  <c r="P331" i="2"/>
  <c r="O331" i="2"/>
  <c r="L331" i="2"/>
  <c r="S331" i="2" s="1"/>
  <c r="R329" i="2"/>
  <c r="Q329" i="2"/>
  <c r="P329" i="2"/>
  <c r="O329" i="2"/>
  <c r="L329" i="2"/>
  <c r="S329" i="2" s="1"/>
  <c r="R327" i="2"/>
  <c r="Q327" i="2"/>
  <c r="P327" i="2"/>
  <c r="O327" i="2"/>
  <c r="L327" i="2"/>
  <c r="S327" i="2" s="1"/>
  <c r="R325" i="2"/>
  <c r="Q325" i="2"/>
  <c r="P325" i="2"/>
  <c r="O325" i="2"/>
  <c r="L325" i="2"/>
  <c r="S325" i="2" s="1"/>
  <c r="R323" i="2"/>
  <c r="Q323" i="2"/>
  <c r="P323" i="2"/>
  <c r="O323" i="2"/>
  <c r="L323" i="2"/>
  <c r="S323" i="2" s="1"/>
  <c r="R321" i="2"/>
  <c r="Q321" i="2"/>
  <c r="P321" i="2"/>
  <c r="O321" i="2"/>
  <c r="L321" i="2"/>
  <c r="S321" i="2" s="1"/>
  <c r="R319" i="2"/>
  <c r="Q319" i="2"/>
  <c r="P319" i="2"/>
  <c r="O319" i="2"/>
  <c r="L319" i="2"/>
  <c r="S319" i="2" s="1"/>
  <c r="R317" i="2"/>
  <c r="Q317" i="2"/>
  <c r="P317" i="2"/>
  <c r="O317" i="2"/>
  <c r="L317" i="2"/>
  <c r="S317" i="2" s="1"/>
  <c r="R315" i="2"/>
  <c r="Q315" i="2"/>
  <c r="P315" i="2"/>
  <c r="O315" i="2"/>
  <c r="L315" i="2"/>
  <c r="S315" i="2" s="1"/>
  <c r="R313" i="2"/>
  <c r="Q313" i="2"/>
  <c r="P313" i="2"/>
  <c r="O313" i="2"/>
  <c r="L313" i="2"/>
  <c r="S313" i="2" s="1"/>
  <c r="R311" i="2"/>
  <c r="Q311" i="2"/>
  <c r="P311" i="2"/>
  <c r="O311" i="2"/>
  <c r="L311" i="2"/>
  <c r="S311" i="2" s="1"/>
  <c r="R309" i="2"/>
  <c r="Q309" i="2"/>
  <c r="P309" i="2"/>
  <c r="O309" i="2"/>
  <c r="L309" i="2"/>
  <c r="S309" i="2" s="1"/>
  <c r="R307" i="2"/>
  <c r="Q307" i="2"/>
  <c r="P307" i="2"/>
  <c r="O307" i="2"/>
  <c r="L307" i="2"/>
  <c r="S307" i="2" s="1"/>
  <c r="R305" i="2"/>
  <c r="Q305" i="2"/>
  <c r="P305" i="2"/>
  <c r="O305" i="2"/>
  <c r="L305" i="2"/>
  <c r="S305" i="2" s="1"/>
  <c r="R303" i="2"/>
  <c r="Q303" i="2"/>
  <c r="P303" i="2"/>
  <c r="O303" i="2"/>
  <c r="L303" i="2"/>
  <c r="S303" i="2" s="1"/>
  <c r="R301" i="2"/>
  <c r="Q301" i="2"/>
  <c r="P301" i="2"/>
  <c r="O301" i="2"/>
  <c r="L301" i="2"/>
  <c r="S301" i="2" s="1"/>
  <c r="R299" i="2"/>
  <c r="Q299" i="2"/>
  <c r="P299" i="2"/>
  <c r="O299" i="2"/>
  <c r="L299" i="2"/>
  <c r="S299" i="2" s="1"/>
  <c r="R297" i="2"/>
  <c r="Q297" i="2"/>
  <c r="P297" i="2"/>
  <c r="O297" i="2"/>
  <c r="L297" i="2"/>
  <c r="S297" i="2" s="1"/>
  <c r="R295" i="2"/>
  <c r="Q295" i="2"/>
  <c r="P295" i="2"/>
  <c r="O295" i="2"/>
  <c r="L295" i="2"/>
  <c r="S295" i="2" s="1"/>
  <c r="R293" i="2"/>
  <c r="Q293" i="2"/>
  <c r="P293" i="2"/>
  <c r="O293" i="2"/>
  <c r="L293" i="2"/>
  <c r="S293" i="2" s="1"/>
  <c r="R291" i="2"/>
  <c r="Q291" i="2"/>
  <c r="P291" i="2"/>
  <c r="O291" i="2"/>
  <c r="L291" i="2"/>
  <c r="S291" i="2" s="1"/>
  <c r="R289" i="2"/>
  <c r="Q289" i="2"/>
  <c r="P289" i="2"/>
  <c r="O289" i="2"/>
  <c r="L289" i="2"/>
  <c r="S289" i="2" s="1"/>
  <c r="R287" i="2"/>
  <c r="Q287" i="2"/>
  <c r="P287" i="2"/>
  <c r="O287" i="2"/>
  <c r="L287" i="2"/>
  <c r="S287" i="2" s="1"/>
  <c r="R285" i="2"/>
  <c r="Q285" i="2"/>
  <c r="P285" i="2"/>
  <c r="O285" i="2"/>
  <c r="L285" i="2"/>
  <c r="S285" i="2" s="1"/>
  <c r="R283" i="2"/>
  <c r="Q283" i="2"/>
  <c r="P283" i="2"/>
  <c r="O283" i="2"/>
  <c r="L283" i="2"/>
  <c r="S283" i="2" s="1"/>
  <c r="R281" i="2"/>
  <c r="Q281" i="2"/>
  <c r="P281" i="2"/>
  <c r="O281" i="2"/>
  <c r="L281" i="2"/>
  <c r="S281" i="2" s="1"/>
  <c r="R279" i="2"/>
  <c r="Q279" i="2"/>
  <c r="P279" i="2"/>
  <c r="O279" i="2"/>
  <c r="L279" i="2"/>
  <c r="S279" i="2" s="1"/>
  <c r="R277" i="2"/>
  <c r="Q277" i="2"/>
  <c r="P277" i="2"/>
  <c r="O277" i="2"/>
  <c r="L277" i="2"/>
  <c r="S277" i="2" s="1"/>
  <c r="R275" i="2"/>
  <c r="Q275" i="2"/>
  <c r="P275" i="2"/>
  <c r="O275" i="2"/>
  <c r="L275" i="2"/>
  <c r="S275" i="2" s="1"/>
  <c r="R273" i="2"/>
  <c r="Q273" i="2"/>
  <c r="P273" i="2"/>
  <c r="O273" i="2"/>
  <c r="L273" i="2"/>
  <c r="S273" i="2" s="1"/>
  <c r="R271" i="2"/>
  <c r="Q271" i="2"/>
  <c r="P271" i="2"/>
  <c r="O271" i="2"/>
  <c r="L271" i="2"/>
  <c r="S271" i="2" s="1"/>
  <c r="R269" i="2"/>
  <c r="Q269" i="2"/>
  <c r="P269" i="2"/>
  <c r="O269" i="2"/>
  <c r="L269" i="2"/>
  <c r="S269" i="2" s="1"/>
  <c r="R267" i="2"/>
  <c r="Q267" i="2"/>
  <c r="P267" i="2"/>
  <c r="O267" i="2"/>
  <c r="L267" i="2"/>
  <c r="S267" i="2" s="1"/>
  <c r="R265" i="2"/>
  <c r="Q265" i="2"/>
  <c r="P265" i="2"/>
  <c r="O265" i="2"/>
  <c r="L265" i="2"/>
  <c r="S265" i="2" s="1"/>
  <c r="R263" i="2"/>
  <c r="Q263" i="2"/>
  <c r="P263" i="2"/>
  <c r="O263" i="2"/>
  <c r="L263" i="2"/>
  <c r="S263" i="2" s="1"/>
  <c r="R261" i="2"/>
  <c r="Q261" i="2"/>
  <c r="P261" i="2"/>
  <c r="O261" i="2"/>
  <c r="L261" i="2"/>
  <c r="S261" i="2" s="1"/>
  <c r="R259" i="2"/>
  <c r="Q259" i="2"/>
  <c r="P259" i="2"/>
  <c r="O259" i="2"/>
  <c r="L259" i="2"/>
  <c r="S259" i="2" s="1"/>
  <c r="R257" i="2"/>
  <c r="Q257" i="2"/>
  <c r="P257" i="2"/>
  <c r="O257" i="2"/>
  <c r="L257" i="2"/>
  <c r="S257" i="2" s="1"/>
  <c r="R255" i="2"/>
  <c r="Q255" i="2"/>
  <c r="P255" i="2"/>
  <c r="O255" i="2"/>
  <c r="L255" i="2"/>
  <c r="S255" i="2" s="1"/>
  <c r="R253" i="2"/>
  <c r="Q253" i="2"/>
  <c r="P253" i="2"/>
  <c r="O253" i="2"/>
  <c r="L253" i="2"/>
  <c r="S253" i="2" s="1"/>
  <c r="R251" i="2"/>
  <c r="Q251" i="2"/>
  <c r="P251" i="2"/>
  <c r="O251" i="2"/>
  <c r="L251" i="2"/>
  <c r="S251" i="2" s="1"/>
  <c r="R249" i="2"/>
  <c r="Q249" i="2"/>
  <c r="P249" i="2"/>
  <c r="O249" i="2"/>
  <c r="L249" i="2"/>
  <c r="S249" i="2" s="1"/>
  <c r="R247" i="2"/>
  <c r="Q247" i="2"/>
  <c r="P247" i="2"/>
  <c r="O247" i="2"/>
  <c r="L247" i="2"/>
  <c r="S247" i="2" s="1"/>
  <c r="R245" i="2"/>
  <c r="Q245" i="2"/>
  <c r="P245" i="2"/>
  <c r="O245" i="2"/>
  <c r="L245" i="2"/>
  <c r="S245" i="2" s="1"/>
  <c r="R243" i="2"/>
  <c r="Q243" i="2"/>
  <c r="P243" i="2"/>
  <c r="O243" i="2"/>
  <c r="L243" i="2"/>
  <c r="S243" i="2" s="1"/>
  <c r="R241" i="2"/>
  <c r="Q241" i="2"/>
  <c r="P241" i="2"/>
  <c r="O241" i="2"/>
  <c r="L241" i="2"/>
  <c r="S241" i="2" s="1"/>
  <c r="R239" i="2"/>
  <c r="Q239" i="2"/>
  <c r="P239" i="2"/>
  <c r="O239" i="2"/>
  <c r="L239" i="2"/>
  <c r="S239" i="2" s="1"/>
  <c r="R237" i="2"/>
  <c r="Q237" i="2"/>
  <c r="P237" i="2"/>
  <c r="O237" i="2"/>
  <c r="L237" i="2"/>
  <c r="S237" i="2" s="1"/>
  <c r="R235" i="2"/>
  <c r="Q235" i="2"/>
  <c r="P235" i="2"/>
  <c r="O235" i="2"/>
  <c r="L235" i="2"/>
  <c r="S235" i="2" s="1"/>
  <c r="R233" i="2"/>
  <c r="Q233" i="2"/>
  <c r="P233" i="2"/>
  <c r="O233" i="2"/>
  <c r="L233" i="2"/>
  <c r="S233" i="2" s="1"/>
  <c r="R231" i="2"/>
  <c r="Q231" i="2"/>
  <c r="P231" i="2"/>
  <c r="O231" i="2"/>
  <c r="L231" i="2"/>
  <c r="S231" i="2" s="1"/>
  <c r="R229" i="2"/>
  <c r="Q229" i="2"/>
  <c r="P229" i="2"/>
  <c r="O229" i="2"/>
  <c r="L229" i="2"/>
  <c r="S229" i="2" s="1"/>
  <c r="R227" i="2"/>
  <c r="Q227" i="2"/>
  <c r="P227" i="2"/>
  <c r="O227" i="2"/>
  <c r="L227" i="2"/>
  <c r="S227" i="2" s="1"/>
  <c r="R225" i="2"/>
  <c r="Q225" i="2"/>
  <c r="P225" i="2"/>
  <c r="O225" i="2"/>
  <c r="L225" i="2"/>
  <c r="S225" i="2" s="1"/>
  <c r="R223" i="2"/>
  <c r="Q223" i="2"/>
  <c r="P223" i="2"/>
  <c r="O223" i="2"/>
  <c r="L223" i="2"/>
  <c r="S223" i="2" s="1"/>
  <c r="R221" i="2"/>
  <c r="Q221" i="2"/>
  <c r="P221" i="2"/>
  <c r="O221" i="2"/>
  <c r="L221" i="2"/>
  <c r="S221" i="2" s="1"/>
  <c r="R219" i="2"/>
  <c r="Q219" i="2"/>
  <c r="P219" i="2"/>
  <c r="O219" i="2"/>
  <c r="L219" i="2"/>
  <c r="S219" i="2" s="1"/>
  <c r="R217" i="2"/>
  <c r="Q217" i="2"/>
  <c r="P217" i="2"/>
  <c r="O217" i="2"/>
  <c r="L217" i="2"/>
  <c r="S217" i="2" s="1"/>
  <c r="R215" i="2"/>
  <c r="Q215" i="2"/>
  <c r="P215" i="2"/>
  <c r="O215" i="2"/>
  <c r="L215" i="2"/>
  <c r="S215" i="2" s="1"/>
  <c r="R213" i="2"/>
  <c r="Q213" i="2"/>
  <c r="P213" i="2"/>
  <c r="O213" i="2"/>
  <c r="L213" i="2"/>
  <c r="S213" i="2" s="1"/>
  <c r="R211" i="2"/>
  <c r="Q211" i="2"/>
  <c r="P211" i="2"/>
  <c r="O211" i="2"/>
  <c r="L211" i="2"/>
  <c r="S211" i="2" s="1"/>
  <c r="R209" i="2"/>
  <c r="Q209" i="2"/>
  <c r="P209" i="2"/>
  <c r="O209" i="2"/>
  <c r="L209" i="2"/>
  <c r="S209" i="2" s="1"/>
  <c r="R207" i="2"/>
  <c r="Q207" i="2"/>
  <c r="P207" i="2"/>
  <c r="O207" i="2"/>
  <c r="L207" i="2"/>
  <c r="S207" i="2" s="1"/>
  <c r="R205" i="2"/>
  <c r="Q205" i="2"/>
  <c r="P205" i="2"/>
  <c r="O205" i="2"/>
  <c r="L205" i="2"/>
  <c r="S205" i="2" s="1"/>
  <c r="R203" i="2"/>
  <c r="Q203" i="2"/>
  <c r="P203" i="2"/>
  <c r="O203" i="2"/>
  <c r="L203" i="2"/>
  <c r="S203" i="2" s="1"/>
  <c r="R201" i="2"/>
  <c r="Q201" i="2"/>
  <c r="P201" i="2"/>
  <c r="O201" i="2"/>
  <c r="L201" i="2"/>
  <c r="S201" i="2" s="1"/>
  <c r="R199" i="2"/>
  <c r="Q199" i="2"/>
  <c r="P199" i="2"/>
  <c r="O199" i="2"/>
  <c r="L199" i="2"/>
  <c r="S199" i="2" s="1"/>
  <c r="R197" i="2"/>
  <c r="Q197" i="2"/>
  <c r="P197" i="2"/>
  <c r="O197" i="2"/>
  <c r="L197" i="2"/>
  <c r="S197" i="2" s="1"/>
  <c r="R195" i="2"/>
  <c r="Q195" i="2"/>
  <c r="P195" i="2"/>
  <c r="O195" i="2"/>
  <c r="L195" i="2"/>
  <c r="S195" i="2" s="1"/>
  <c r="R193" i="2"/>
  <c r="Q193" i="2"/>
  <c r="P193" i="2"/>
  <c r="O193" i="2"/>
  <c r="L193" i="2"/>
  <c r="S193" i="2" s="1"/>
  <c r="R191" i="2"/>
  <c r="Q191" i="2"/>
  <c r="P191" i="2"/>
  <c r="O191" i="2"/>
  <c r="L191" i="2"/>
  <c r="S191" i="2" s="1"/>
  <c r="R189" i="2"/>
  <c r="Q189" i="2"/>
  <c r="P189" i="2"/>
  <c r="O189" i="2"/>
  <c r="L189" i="2"/>
  <c r="S189" i="2" s="1"/>
  <c r="R187" i="2"/>
  <c r="Q187" i="2"/>
  <c r="P187" i="2"/>
  <c r="O187" i="2"/>
  <c r="L187" i="2"/>
  <c r="S187" i="2" s="1"/>
  <c r="R185" i="2"/>
  <c r="Q185" i="2"/>
  <c r="P185" i="2"/>
  <c r="O185" i="2"/>
  <c r="L185" i="2"/>
  <c r="S185" i="2" s="1"/>
  <c r="R183" i="2"/>
  <c r="Q183" i="2"/>
  <c r="P183" i="2"/>
  <c r="O183" i="2"/>
  <c r="L183" i="2"/>
  <c r="S183" i="2" s="1"/>
  <c r="R181" i="2"/>
  <c r="Q181" i="2"/>
  <c r="P181" i="2"/>
  <c r="O181" i="2"/>
  <c r="L181" i="2"/>
  <c r="S181" i="2" s="1"/>
  <c r="R179" i="2"/>
  <c r="Q179" i="2"/>
  <c r="P179" i="2"/>
  <c r="O179" i="2"/>
  <c r="L179" i="2"/>
  <c r="S179" i="2" s="1"/>
  <c r="R177" i="2"/>
  <c r="Q177" i="2"/>
  <c r="P177" i="2"/>
  <c r="O177" i="2"/>
  <c r="L177" i="2"/>
  <c r="S177" i="2" s="1"/>
  <c r="R175" i="2"/>
  <c r="Q175" i="2"/>
  <c r="P175" i="2"/>
  <c r="O175" i="2"/>
  <c r="L175" i="2"/>
  <c r="S175" i="2" s="1"/>
  <c r="R173" i="2"/>
  <c r="Q173" i="2"/>
  <c r="P173" i="2"/>
  <c r="O173" i="2"/>
  <c r="L173" i="2"/>
  <c r="S173" i="2" s="1"/>
  <c r="R171" i="2"/>
  <c r="Q171" i="2"/>
  <c r="P171" i="2"/>
  <c r="O171" i="2"/>
  <c r="L171" i="2"/>
  <c r="S171" i="2" s="1"/>
  <c r="R169" i="2"/>
  <c r="Q169" i="2"/>
  <c r="P169" i="2"/>
  <c r="O169" i="2"/>
  <c r="L169" i="2"/>
  <c r="S169" i="2" s="1"/>
  <c r="R167" i="2"/>
  <c r="Q167" i="2"/>
  <c r="P167" i="2"/>
  <c r="O167" i="2"/>
  <c r="L167" i="2"/>
  <c r="S167" i="2" s="1"/>
  <c r="R165" i="2"/>
  <c r="Q165" i="2"/>
  <c r="P165" i="2"/>
  <c r="O165" i="2"/>
  <c r="L165" i="2"/>
  <c r="S165" i="2" s="1"/>
  <c r="R163" i="2"/>
  <c r="Q163" i="2"/>
  <c r="P163" i="2"/>
  <c r="O163" i="2"/>
  <c r="L163" i="2"/>
  <c r="S163" i="2" s="1"/>
  <c r="R161" i="2"/>
  <c r="Q161" i="2"/>
  <c r="P161" i="2"/>
  <c r="O161" i="2"/>
  <c r="L161" i="2"/>
  <c r="S161" i="2" s="1"/>
  <c r="R159" i="2"/>
  <c r="Q159" i="2"/>
  <c r="P159" i="2"/>
  <c r="O159" i="2"/>
  <c r="L159" i="2"/>
  <c r="S159" i="2" s="1"/>
  <c r="R157" i="2"/>
  <c r="Q157" i="2"/>
  <c r="P157" i="2"/>
  <c r="O157" i="2"/>
  <c r="L157" i="2"/>
  <c r="S157" i="2" s="1"/>
  <c r="R155" i="2"/>
  <c r="Q155" i="2"/>
  <c r="P155" i="2"/>
  <c r="O155" i="2"/>
  <c r="L155" i="2"/>
  <c r="S155" i="2" s="1"/>
  <c r="R153" i="2"/>
  <c r="Q153" i="2"/>
  <c r="P153" i="2"/>
  <c r="O153" i="2"/>
  <c r="L153" i="2"/>
  <c r="S153" i="2" s="1"/>
  <c r="R151" i="2"/>
  <c r="Q151" i="2"/>
  <c r="P151" i="2"/>
  <c r="O151" i="2"/>
  <c r="L151" i="2"/>
  <c r="S151" i="2" s="1"/>
  <c r="R149" i="2"/>
  <c r="Q149" i="2"/>
  <c r="P149" i="2"/>
  <c r="O149" i="2"/>
  <c r="L149" i="2"/>
  <c r="S149" i="2" s="1"/>
  <c r="R147" i="2"/>
  <c r="Q147" i="2"/>
  <c r="P147" i="2"/>
  <c r="O147" i="2"/>
  <c r="L147" i="2"/>
  <c r="S147" i="2" s="1"/>
  <c r="R145" i="2"/>
  <c r="Q145" i="2"/>
  <c r="P145" i="2"/>
  <c r="O145" i="2"/>
  <c r="L145" i="2"/>
  <c r="S145" i="2" s="1"/>
  <c r="R143" i="2"/>
  <c r="Q143" i="2"/>
  <c r="P143" i="2"/>
  <c r="O143" i="2"/>
  <c r="L143" i="2"/>
  <c r="S143" i="2" s="1"/>
  <c r="R141" i="2"/>
  <c r="Q141" i="2"/>
  <c r="P141" i="2"/>
  <c r="O141" i="2"/>
  <c r="L141" i="2"/>
  <c r="S141" i="2" s="1"/>
  <c r="R139" i="2"/>
  <c r="Q139" i="2"/>
  <c r="P139" i="2"/>
  <c r="O139" i="2"/>
  <c r="L139" i="2"/>
  <c r="S139" i="2" s="1"/>
  <c r="R137" i="2"/>
  <c r="Q137" i="2"/>
  <c r="P137" i="2"/>
  <c r="O137" i="2"/>
  <c r="L137" i="2"/>
  <c r="S137" i="2" s="1"/>
  <c r="R135" i="2"/>
  <c r="Q135" i="2"/>
  <c r="P135" i="2"/>
  <c r="O135" i="2"/>
  <c r="L135" i="2"/>
  <c r="S135" i="2" s="1"/>
  <c r="R133" i="2"/>
  <c r="Q133" i="2"/>
  <c r="P133" i="2"/>
  <c r="O133" i="2"/>
  <c r="L133" i="2"/>
  <c r="S133" i="2" s="1"/>
  <c r="R131" i="2"/>
  <c r="Q131" i="2"/>
  <c r="P131" i="2"/>
  <c r="O131" i="2"/>
  <c r="L131" i="2"/>
  <c r="S131" i="2" s="1"/>
  <c r="R129" i="2"/>
  <c r="Q129" i="2"/>
  <c r="P129" i="2"/>
  <c r="O129" i="2"/>
  <c r="L129" i="2"/>
  <c r="S129" i="2" s="1"/>
  <c r="R127" i="2"/>
  <c r="Q127" i="2"/>
  <c r="P127" i="2"/>
  <c r="O127" i="2"/>
  <c r="L127" i="2"/>
  <c r="S127" i="2" s="1"/>
  <c r="R125" i="2"/>
  <c r="Q125" i="2"/>
  <c r="P125" i="2"/>
  <c r="O125" i="2"/>
  <c r="L125" i="2"/>
  <c r="S125" i="2" s="1"/>
  <c r="R123" i="2"/>
  <c r="Q123" i="2"/>
  <c r="P123" i="2"/>
  <c r="O123" i="2"/>
  <c r="L123" i="2"/>
  <c r="S123" i="2" s="1"/>
  <c r="R121" i="2"/>
  <c r="Q121" i="2"/>
  <c r="P121" i="2"/>
  <c r="O121" i="2"/>
  <c r="L121" i="2"/>
  <c r="S121" i="2" s="1"/>
  <c r="R119" i="2"/>
  <c r="Q119" i="2"/>
  <c r="P119" i="2"/>
  <c r="O119" i="2"/>
  <c r="L119" i="2"/>
  <c r="S119" i="2" s="1"/>
  <c r="R117" i="2"/>
  <c r="Q117" i="2"/>
  <c r="P117" i="2"/>
  <c r="O117" i="2"/>
  <c r="L117" i="2"/>
  <c r="S117" i="2" s="1"/>
  <c r="R115" i="2"/>
  <c r="Q115" i="2"/>
  <c r="P115" i="2"/>
  <c r="O115" i="2"/>
  <c r="L115" i="2"/>
  <c r="S115" i="2" s="1"/>
  <c r="R113" i="2"/>
  <c r="Q113" i="2"/>
  <c r="P113" i="2"/>
  <c r="O113" i="2"/>
  <c r="L113" i="2"/>
  <c r="S113" i="2" s="1"/>
  <c r="R111" i="2"/>
  <c r="Q111" i="2"/>
  <c r="P111" i="2"/>
  <c r="O111" i="2"/>
  <c r="L111" i="2"/>
  <c r="S111" i="2" s="1"/>
  <c r="R109" i="2"/>
  <c r="Q109" i="2"/>
  <c r="P109" i="2"/>
  <c r="O109" i="2"/>
  <c r="L109" i="2"/>
  <c r="S109" i="2" s="1"/>
  <c r="R107" i="2"/>
  <c r="Q107" i="2"/>
  <c r="P107" i="2"/>
  <c r="O107" i="2"/>
  <c r="L107" i="2"/>
  <c r="S107" i="2" s="1"/>
  <c r="R105" i="2"/>
  <c r="Q105" i="2"/>
  <c r="P105" i="2"/>
  <c r="O105" i="2"/>
  <c r="L105" i="2"/>
  <c r="S105" i="2" s="1"/>
  <c r="R103" i="2"/>
  <c r="Q103" i="2"/>
  <c r="P103" i="2"/>
  <c r="O103" i="2"/>
  <c r="L103" i="2"/>
  <c r="S103" i="2" s="1"/>
  <c r="R101" i="2"/>
  <c r="Q101" i="2"/>
  <c r="P101" i="2"/>
  <c r="O101" i="2"/>
  <c r="L101" i="2"/>
  <c r="S101" i="2" s="1"/>
  <c r="R99" i="2"/>
  <c r="Q99" i="2"/>
  <c r="P99" i="2"/>
  <c r="O99" i="2"/>
  <c r="L99" i="2"/>
  <c r="S99" i="2" s="1"/>
  <c r="R97" i="2"/>
  <c r="Q97" i="2"/>
  <c r="P97" i="2"/>
  <c r="O97" i="2"/>
  <c r="L97" i="2"/>
  <c r="S97" i="2" s="1"/>
  <c r="R95" i="2"/>
  <c r="Q95" i="2"/>
  <c r="P95" i="2"/>
  <c r="O95" i="2"/>
  <c r="L95" i="2"/>
  <c r="S95" i="2" s="1"/>
  <c r="R93" i="2"/>
  <c r="Q93" i="2"/>
  <c r="P93" i="2"/>
  <c r="O93" i="2"/>
  <c r="L93" i="2"/>
  <c r="S93" i="2" s="1"/>
  <c r="R91" i="2"/>
  <c r="Q91" i="2"/>
  <c r="P91" i="2"/>
  <c r="O91" i="2"/>
  <c r="L91" i="2"/>
  <c r="S91" i="2" s="1"/>
  <c r="R89" i="2"/>
  <c r="Q89" i="2"/>
  <c r="P89" i="2"/>
  <c r="O89" i="2"/>
  <c r="L89" i="2"/>
  <c r="S89" i="2" s="1"/>
  <c r="R87" i="2"/>
  <c r="Q87" i="2"/>
  <c r="P87" i="2"/>
  <c r="O87" i="2"/>
  <c r="L87" i="2"/>
  <c r="S87" i="2" s="1"/>
  <c r="R85" i="2"/>
  <c r="Q85" i="2"/>
  <c r="P85" i="2"/>
  <c r="O85" i="2"/>
  <c r="L85" i="2"/>
  <c r="S85" i="2" s="1"/>
  <c r="R83" i="2"/>
  <c r="Q83" i="2"/>
  <c r="P83" i="2"/>
  <c r="O83" i="2"/>
  <c r="L83" i="2"/>
  <c r="S83" i="2" s="1"/>
  <c r="R81" i="2"/>
  <c r="Q81" i="2"/>
  <c r="P81" i="2"/>
  <c r="O81" i="2"/>
  <c r="L81" i="2"/>
  <c r="S81" i="2" s="1"/>
  <c r="R79" i="2"/>
  <c r="Q79" i="2"/>
  <c r="P79" i="2"/>
  <c r="O79" i="2"/>
  <c r="L79" i="2"/>
  <c r="S79" i="2" s="1"/>
  <c r="R77" i="2"/>
  <c r="Q77" i="2"/>
  <c r="P77" i="2"/>
  <c r="O77" i="2"/>
  <c r="L77" i="2"/>
  <c r="S77" i="2" s="1"/>
  <c r="R75" i="2"/>
  <c r="Q75" i="2"/>
  <c r="P75" i="2"/>
  <c r="O75" i="2"/>
  <c r="L75" i="2"/>
  <c r="S75" i="2" s="1"/>
  <c r="R73" i="2"/>
  <c r="Q73" i="2"/>
  <c r="P73" i="2"/>
  <c r="O73" i="2"/>
  <c r="L73" i="2"/>
  <c r="S73" i="2" s="1"/>
  <c r="R71" i="2"/>
  <c r="Q71" i="2"/>
  <c r="P71" i="2"/>
  <c r="O71" i="2"/>
  <c r="L71" i="2"/>
  <c r="S71" i="2" s="1"/>
  <c r="R69" i="2"/>
  <c r="Q69" i="2"/>
  <c r="P69" i="2"/>
  <c r="O69" i="2"/>
  <c r="L69" i="2"/>
  <c r="S69" i="2" s="1"/>
  <c r="R67" i="2"/>
  <c r="Q67" i="2"/>
  <c r="P67" i="2"/>
  <c r="O67" i="2"/>
  <c r="L67" i="2"/>
  <c r="S67" i="2" s="1"/>
  <c r="R65" i="2"/>
  <c r="Q65" i="2"/>
  <c r="P65" i="2"/>
  <c r="O65" i="2"/>
  <c r="L65" i="2"/>
  <c r="S65" i="2" s="1"/>
  <c r="R63" i="2"/>
  <c r="Q63" i="2"/>
  <c r="P63" i="2"/>
  <c r="O63" i="2"/>
  <c r="L63" i="2"/>
  <c r="S63" i="2" s="1"/>
  <c r="R61" i="2"/>
  <c r="Q61" i="2"/>
  <c r="P61" i="2"/>
  <c r="O61" i="2"/>
  <c r="L61" i="2"/>
  <c r="S61" i="2" s="1"/>
  <c r="R59" i="2"/>
  <c r="Q59" i="2"/>
  <c r="P59" i="2"/>
  <c r="O59" i="2"/>
  <c r="L59" i="2"/>
  <c r="S59" i="2" s="1"/>
  <c r="R57" i="2"/>
  <c r="Q57" i="2"/>
  <c r="P57" i="2"/>
  <c r="O57" i="2"/>
  <c r="L57" i="2"/>
  <c r="S57" i="2" s="1"/>
  <c r="R55" i="2"/>
  <c r="Q55" i="2"/>
  <c r="P55" i="2"/>
  <c r="O55" i="2"/>
  <c r="L55" i="2"/>
  <c r="S55" i="2" s="1"/>
  <c r="R53" i="2"/>
  <c r="Q53" i="2"/>
  <c r="P53" i="2"/>
  <c r="O53" i="2"/>
  <c r="L53" i="2"/>
  <c r="S53" i="2" s="1"/>
  <c r="R51" i="2"/>
  <c r="Q51" i="2"/>
  <c r="P51" i="2"/>
  <c r="O51" i="2"/>
  <c r="L51" i="2"/>
  <c r="S51" i="2" s="1"/>
  <c r="R49" i="2"/>
  <c r="Q49" i="2"/>
  <c r="P49" i="2"/>
  <c r="O49" i="2"/>
  <c r="L49" i="2"/>
  <c r="S49" i="2" s="1"/>
  <c r="R47" i="2"/>
  <c r="Q47" i="2"/>
  <c r="P47" i="2"/>
  <c r="O47" i="2"/>
  <c r="L47" i="2"/>
  <c r="S47" i="2" s="1"/>
  <c r="R45" i="2"/>
  <c r="Q45" i="2"/>
  <c r="P45" i="2"/>
  <c r="O45" i="2"/>
  <c r="L45" i="2"/>
  <c r="S45" i="2" s="1"/>
  <c r="R43" i="2"/>
  <c r="Q43" i="2"/>
  <c r="P43" i="2"/>
  <c r="O43" i="2"/>
  <c r="L43" i="2"/>
  <c r="S43" i="2" s="1"/>
  <c r="R41" i="2"/>
  <c r="Q41" i="2"/>
  <c r="P41" i="2"/>
  <c r="O41" i="2"/>
  <c r="L41" i="2"/>
  <c r="S41" i="2" s="1"/>
  <c r="R39" i="2"/>
  <c r="Q39" i="2"/>
  <c r="P39" i="2"/>
  <c r="O39" i="2"/>
  <c r="L39" i="2"/>
  <c r="S39" i="2" s="1"/>
  <c r="R37" i="2"/>
  <c r="Q37" i="2"/>
  <c r="P37" i="2"/>
  <c r="O37" i="2"/>
  <c r="L37" i="2"/>
  <c r="S37" i="2" s="1"/>
  <c r="R35" i="2"/>
  <c r="Q35" i="2"/>
  <c r="P35" i="2"/>
  <c r="O35" i="2"/>
  <c r="L35" i="2"/>
  <c r="S35" i="2" s="1"/>
  <c r="R33" i="2"/>
  <c r="Q33" i="2"/>
  <c r="P33" i="2"/>
  <c r="O33" i="2"/>
  <c r="L33" i="2"/>
  <c r="S33" i="2" s="1"/>
  <c r="R31" i="2"/>
  <c r="Q31" i="2"/>
  <c r="P31" i="2"/>
  <c r="O31" i="2"/>
  <c r="L31" i="2"/>
  <c r="S31" i="2" s="1"/>
  <c r="R29" i="2"/>
  <c r="Q29" i="2"/>
  <c r="P29" i="2"/>
  <c r="O29" i="2"/>
  <c r="L29" i="2"/>
  <c r="S29" i="2" s="1"/>
  <c r="R27" i="2"/>
  <c r="Q27" i="2"/>
  <c r="P27" i="2"/>
  <c r="O27" i="2"/>
  <c r="L27" i="2"/>
  <c r="S27" i="2" s="1"/>
  <c r="R25" i="2"/>
  <c r="Q25" i="2"/>
  <c r="P25" i="2"/>
  <c r="O25" i="2"/>
  <c r="L25" i="2"/>
  <c r="S25" i="2" s="1"/>
  <c r="R23" i="2"/>
  <c r="Q23" i="2"/>
  <c r="P23" i="2"/>
  <c r="O23" i="2"/>
  <c r="L23" i="2"/>
  <c r="S23" i="2" s="1"/>
  <c r="R21" i="2"/>
  <c r="Q21" i="2"/>
  <c r="P21" i="2"/>
  <c r="O21" i="2"/>
  <c r="L21" i="2"/>
  <c r="S21" i="2" s="1"/>
  <c r="R19" i="2"/>
  <c r="Q19" i="2"/>
  <c r="P19" i="2"/>
  <c r="O19" i="2"/>
  <c r="L19" i="2"/>
  <c r="S19" i="2" s="1"/>
  <c r="R17" i="2"/>
  <c r="Q17" i="2"/>
  <c r="P17" i="2"/>
  <c r="O17" i="2"/>
  <c r="L17" i="2"/>
  <c r="S17" i="2" s="1"/>
  <c r="R15" i="2"/>
  <c r="Q15" i="2"/>
  <c r="P15" i="2"/>
  <c r="O15" i="2"/>
  <c r="L15" i="2"/>
  <c r="S15" i="2" s="1"/>
  <c r="R13" i="2"/>
  <c r="Q13" i="2"/>
  <c r="P13" i="2"/>
  <c r="O13" i="2"/>
  <c r="L13" i="2"/>
  <c r="S13" i="2" s="1"/>
  <c r="R11" i="2"/>
  <c r="Q11" i="2"/>
  <c r="P11" i="2"/>
  <c r="O11" i="2"/>
  <c r="L11" i="2"/>
  <c r="S11" i="2" s="1"/>
  <c r="R9" i="2"/>
  <c r="Q9" i="2"/>
  <c r="P9" i="2"/>
  <c r="O9" i="2"/>
  <c r="L9" i="2"/>
  <c r="S9" i="2" s="1"/>
  <c r="R7" i="2"/>
  <c r="Q7" i="2"/>
  <c r="P7" i="2"/>
  <c r="O7" i="2"/>
  <c r="L7" i="2"/>
  <c r="S7" i="2" s="1"/>
  <c r="R5" i="2"/>
  <c r="Q5" i="2"/>
  <c r="P5" i="2"/>
  <c r="O5" i="2"/>
  <c r="L5" i="2"/>
  <c r="S5" i="2" s="1"/>
  <c r="R3" i="2"/>
  <c r="Q3" i="2"/>
  <c r="P3" i="2"/>
  <c r="O3" i="2"/>
  <c r="L3" i="2"/>
  <c r="S3" i="2" s="1"/>
</calcChain>
</file>

<file path=xl/sharedStrings.xml><?xml version="1.0" encoding="utf-8"?>
<sst xmlns="http://schemas.openxmlformats.org/spreadsheetml/2006/main" count="641" uniqueCount="54">
  <si>
    <t>id</t>
  </si>
  <si>
    <t>nome</t>
  </si>
  <si>
    <t>cognome</t>
  </si>
  <si>
    <t>scuola</t>
  </si>
  <si>
    <t>classe</t>
  </si>
  <si>
    <t>peso</t>
  </si>
  <si>
    <t>altezza</t>
  </si>
  <si>
    <t>sesso</t>
  </si>
  <si>
    <t>insert_date</t>
  </si>
  <si>
    <t>1B</t>
  </si>
  <si>
    <t>M</t>
  </si>
  <si>
    <t>F</t>
  </si>
  <si>
    <t>id_utente</t>
  </si>
  <si>
    <t>tipo_test</t>
  </si>
  <si>
    <t>choice</t>
  </si>
  <si>
    <t>menu</t>
  </si>
  <si>
    <t>logic_test</t>
  </si>
  <si>
    <t>risultato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</si>
  <si>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</si>
  <si>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</si>
  <si>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</si>
  <si>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</si>
  <si>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</si>
  <si>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</si>
  <si>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</si>
  <si>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</si>
  <si>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</si>
  <si>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</si>
  <si>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</si>
  <si>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red_pencil.jpg</t>
  </si>
  <si>
    <t>blue_pen.jpg</t>
  </si>
  <si>
    <t>yellow_pencil.jpg</t>
  </si>
  <si>
    <t>red_pen.jpg</t>
  </si>
  <si>
    <t>yellow_pen.jpg</t>
  </si>
  <si>
    <t>blue_pencil.jpg</t>
  </si>
  <si>
    <t>orange_pencil.jpg</t>
  </si>
  <si>
    <t>green_pen.jpg</t>
  </si>
  <si>
    <t>pen3.jpg</t>
  </si>
  <si>
    <t>pen4.jpg</t>
  </si>
  <si>
    <t>pen2.jpg</t>
  </si>
  <si>
    <t>pen1.jpg</t>
  </si>
  <si>
    <t>In this file there were repetitions due to failures in web connection</t>
  </si>
  <si>
    <t>Possibly there was a failure of the program.</t>
  </si>
  <si>
    <t>We eliminated all the ids below 30 because they did not solve the raven test. The first attempt of the experiment failed and the kids had to restart from the beginning.</t>
  </si>
  <si>
    <t>test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</si>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</sst>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60C9-D7A4-4987-95B2-1365A0D08C3C}">
  <sheetPr filterMode="1"/>
  <dimension ref="A1:S369"/>
  <sheetViews>
    <sheetView workbookViewId="0">
      <selection activeCell="C91" sqref="C9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8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266</v>
      </c>
      <c r="B2">
        <v>30</v>
      </c>
      <c r="C2">
        <v>0</v>
      </c>
      <c r="F2" s="2">
        <v>44855</v>
      </c>
      <c r="G2" s="3">
        <v>0.37059027777777781</v>
      </c>
    </row>
    <row r="3" spans="1:19" x14ac:dyDescent="0.25">
      <c r="A3">
        <v>269</v>
      </c>
      <c r="B3">
        <v>30</v>
      </c>
      <c r="C3">
        <v>0</v>
      </c>
      <c r="D3">
        <v>1</v>
      </c>
      <c r="F3" s="2">
        <v>44855</v>
      </c>
      <c r="G3" s="3">
        <v>0.37069444444444444</v>
      </c>
      <c r="H3" t="s">
        <v>29</v>
      </c>
      <c r="I3" t="s">
        <v>34</v>
      </c>
      <c r="L3" t="str">
        <f>IF(D3=0,H3,IF(D3=1,I3,IF(D3=2,J3,IF(D3=3,K3))))</f>
        <v>blue_pencil.jpg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2</v>
      </c>
      <c r="P3">
        <f t="shared" ref="P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Q3">
        <f t="shared" ref="Q3" si="1">IF(J3="yellow_pencil.jpg",1,IF(J3="red_pencil.jpg",2,IF(J3="orange_pencil.jpg",3,IF(J3="blue_pencil.jpg",4,IF(J3="yellow_pen.jpg",5,IF(J3="red_pen.jpg",6,IF(J3="blue_pen.jpg",7,IF(J3="green_pen.jpg",8,IF(J3="pen1.jpg",9,IF(J3="pen2.jpg",10,IF(J3="pen3.jpg",11,IF(J3="pen4.jpg",12,0))))))))))))</f>
        <v>0</v>
      </c>
      <c r="R3">
        <f t="shared" ref="R3" si="2">IF(K3="yellow_pencil.jpg",1,IF(K3="red_pencil.jpg",2,IF(K3="orange_pencil.jpg",3,IF(K3="blue_pencil.jpg",4,IF(K3="yellow_pen.jpg",5,IF(K3="red_pen.jpg",6,IF(K3="blue_pen.jpg",7,IF(K3="green_pen.jpg",8,IF(K3="pen1.jpg",9,IF(K3="pen2.jpg",10,IF(K3="pen3.jpg",11,IF(K3="pen4.jpg",12,0))))))))))))</f>
        <v>0</v>
      </c>
      <c r="S3">
        <f t="shared" ref="S3" si="3">IF(L3="yellow_pencil.jpg",1,IF(L3="red_pencil.jpg",2,IF(L3="orange_pencil.jpg",3,IF(L3="blue_pencil.jpg",4,IF(L3="yellow_pen.jpg",5,IF(L3="red_pen.jpg",6,IF(L3="blue_pen.jpg",7,IF(L3="green_pen.jpg",8,IF(L3="pen1.jpg",9,IF(L3="pen2.jpg",10,IF(L3="pen3.jpg",11,IF(L3="pen4.jpg",12,0))))))))))))</f>
        <v>4</v>
      </c>
    </row>
    <row r="4" spans="1:19" hidden="1" x14ac:dyDescent="0.25">
      <c r="A4">
        <v>274</v>
      </c>
      <c r="B4">
        <v>30</v>
      </c>
      <c r="C4">
        <v>0</v>
      </c>
      <c r="F4" s="2">
        <v>44855</v>
      </c>
      <c r="G4" s="3">
        <v>0.37081018518518521</v>
      </c>
    </row>
    <row r="5" spans="1:19" x14ac:dyDescent="0.25">
      <c r="A5">
        <v>282</v>
      </c>
      <c r="B5">
        <v>30</v>
      </c>
      <c r="C5">
        <v>0</v>
      </c>
      <c r="D5">
        <v>1</v>
      </c>
      <c r="F5" s="2">
        <v>44855</v>
      </c>
      <c r="G5" s="3">
        <v>0.37091435185185184</v>
      </c>
      <c r="H5" t="s">
        <v>31</v>
      </c>
      <c r="I5" t="s">
        <v>35</v>
      </c>
      <c r="L5" t="str">
        <f>IF(D5=0,H5,IF(D5=1,I5,IF(D5=2,J5,IF(D5=3,K5))))</f>
        <v>orange_pencil.jpg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1</v>
      </c>
      <c r="P5">
        <f t="shared" ref="P5" si="4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Q5">
        <f t="shared" ref="Q5" si="5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6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7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3</v>
      </c>
    </row>
    <row r="6" spans="1:19" hidden="1" x14ac:dyDescent="0.25">
      <c r="A6">
        <v>289</v>
      </c>
      <c r="B6">
        <v>30</v>
      </c>
      <c r="C6">
        <v>0</v>
      </c>
      <c r="F6" s="2">
        <v>44855</v>
      </c>
      <c r="G6" s="3">
        <v>0.37103009259259262</v>
      </c>
    </row>
    <row r="7" spans="1:19" x14ac:dyDescent="0.25">
      <c r="A7">
        <v>305</v>
      </c>
      <c r="B7">
        <v>30</v>
      </c>
      <c r="C7">
        <v>0</v>
      </c>
      <c r="D7">
        <v>0</v>
      </c>
      <c r="F7" s="2">
        <v>44855</v>
      </c>
      <c r="G7" s="3">
        <v>0.3712037037037037</v>
      </c>
      <c r="H7" t="s">
        <v>34</v>
      </c>
      <c r="I7" t="s">
        <v>29</v>
      </c>
      <c r="J7" t="s">
        <v>31</v>
      </c>
      <c r="L7" t="str">
        <f>IF(D7=0,H7,IF(D7=1,I7,IF(D7=2,J7,IF(D7=3,K7))))</f>
        <v>blue_pencil.jpg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4</v>
      </c>
      <c r="P7">
        <f t="shared" ref="P7" si="8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9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1</v>
      </c>
      <c r="R7">
        <f t="shared" ref="R7" si="10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11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4</v>
      </c>
    </row>
    <row r="8" spans="1:19" hidden="1" x14ac:dyDescent="0.25">
      <c r="A8">
        <v>315</v>
      </c>
      <c r="B8">
        <v>30</v>
      </c>
      <c r="C8">
        <v>0</v>
      </c>
      <c r="F8" s="2">
        <v>44855</v>
      </c>
      <c r="G8" s="3">
        <v>0.37130787037037033</v>
      </c>
    </row>
    <row r="9" spans="1:19" x14ac:dyDescent="0.25">
      <c r="A9">
        <v>331</v>
      </c>
      <c r="B9">
        <v>30</v>
      </c>
      <c r="C9">
        <v>0</v>
      </c>
      <c r="D9">
        <v>2</v>
      </c>
      <c r="F9" s="2">
        <v>44855</v>
      </c>
      <c r="G9" s="3">
        <v>0.37148148148148147</v>
      </c>
      <c r="H9" t="s">
        <v>29</v>
      </c>
      <c r="I9" t="s">
        <v>31</v>
      </c>
      <c r="J9" t="s">
        <v>35</v>
      </c>
      <c r="L9" t="str">
        <f>IF(D9=0,H9,IF(D9=1,I9,IF(D9=2,J9,IF(D9=3,K9))))</f>
        <v>orange_pencil.jpg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2</v>
      </c>
      <c r="P9">
        <f t="shared" ref="P9" si="12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Q9">
        <f t="shared" ref="Q9" si="13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3</v>
      </c>
      <c r="R9">
        <f t="shared" ref="R9" si="14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5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3</v>
      </c>
    </row>
    <row r="10" spans="1:19" hidden="1" x14ac:dyDescent="0.25">
      <c r="A10">
        <v>343</v>
      </c>
      <c r="B10">
        <v>30</v>
      </c>
      <c r="C10">
        <v>0</v>
      </c>
      <c r="F10" s="2">
        <v>44855</v>
      </c>
      <c r="G10" s="3">
        <v>0.37160879629629634</v>
      </c>
    </row>
    <row r="11" spans="1:19" x14ac:dyDescent="0.25">
      <c r="A11">
        <v>349</v>
      </c>
      <c r="B11">
        <v>30</v>
      </c>
      <c r="C11">
        <v>0</v>
      </c>
      <c r="D11">
        <v>0</v>
      </c>
      <c r="F11" s="2">
        <v>44855</v>
      </c>
      <c r="G11" s="3">
        <v>0.37166666666666665</v>
      </c>
      <c r="H11" t="s">
        <v>29</v>
      </c>
      <c r="I11" t="s">
        <v>35</v>
      </c>
      <c r="J11" t="s">
        <v>34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2</v>
      </c>
      <c r="P11">
        <f t="shared" ref="P11" si="16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3</v>
      </c>
      <c r="Q11">
        <f t="shared" ref="Q11" si="17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4</v>
      </c>
      <c r="R11">
        <f t="shared" ref="R11" si="18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9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362</v>
      </c>
      <c r="B12">
        <v>30</v>
      </c>
      <c r="C12">
        <v>0</v>
      </c>
      <c r="F12" s="2">
        <v>44855</v>
      </c>
      <c r="G12" s="3">
        <v>0.37179398148148146</v>
      </c>
    </row>
    <row r="13" spans="1:19" x14ac:dyDescent="0.25">
      <c r="A13">
        <v>379</v>
      </c>
      <c r="B13">
        <v>30</v>
      </c>
      <c r="C13">
        <v>0</v>
      </c>
      <c r="D13">
        <v>1</v>
      </c>
      <c r="F13" s="2">
        <v>44855</v>
      </c>
      <c r="G13" s="3">
        <v>0.37199074074074073</v>
      </c>
      <c r="H13" t="s">
        <v>29</v>
      </c>
      <c r="I13" t="s">
        <v>35</v>
      </c>
      <c r="L13" t="str">
        <f>IF(D13=0,H13,IF(D13=1,I13,IF(D13=2,J13,IF(D13=3,K13))))</f>
        <v>orange_pencil.jpg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2</v>
      </c>
      <c r="P13">
        <f t="shared" ref="P13" si="20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21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22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3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3</v>
      </c>
    </row>
    <row r="14" spans="1:19" hidden="1" x14ac:dyDescent="0.25">
      <c r="A14">
        <v>391</v>
      </c>
      <c r="B14">
        <v>30</v>
      </c>
      <c r="C14">
        <v>0</v>
      </c>
      <c r="F14" s="2">
        <v>44855</v>
      </c>
      <c r="G14" s="3">
        <v>0.37210648148148145</v>
      </c>
    </row>
    <row r="15" spans="1:19" x14ac:dyDescent="0.25">
      <c r="A15">
        <v>405</v>
      </c>
      <c r="B15">
        <v>30</v>
      </c>
      <c r="C15">
        <v>0</v>
      </c>
      <c r="D15">
        <v>1</v>
      </c>
      <c r="F15" s="2">
        <v>44855</v>
      </c>
      <c r="G15" s="3">
        <v>0.37228009259259259</v>
      </c>
      <c r="H15" t="s">
        <v>35</v>
      </c>
      <c r="I15" t="s">
        <v>34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3</v>
      </c>
      <c r="P15">
        <f t="shared" ref="P15" si="24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Q15">
        <f t="shared" ref="Q15" si="25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6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7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416</v>
      </c>
      <c r="B16">
        <v>30</v>
      </c>
      <c r="C16">
        <v>0</v>
      </c>
      <c r="F16" s="2">
        <v>44855</v>
      </c>
      <c r="G16" s="3">
        <v>0.37238425925925928</v>
      </c>
    </row>
    <row r="17" spans="1:19" x14ac:dyDescent="0.25">
      <c r="A17">
        <v>430</v>
      </c>
      <c r="B17">
        <v>30</v>
      </c>
      <c r="C17">
        <v>0</v>
      </c>
      <c r="D17">
        <v>2</v>
      </c>
      <c r="F17" s="2">
        <v>44855</v>
      </c>
      <c r="G17" s="3">
        <v>0.37252314814814813</v>
      </c>
      <c r="H17" t="s">
        <v>31</v>
      </c>
      <c r="I17" t="s">
        <v>35</v>
      </c>
      <c r="J17" t="s">
        <v>34</v>
      </c>
      <c r="L17" t="str">
        <f>IF(D17=0,H17,IF(D17=1,I17,IF(D17=2,J17,IF(D17=3,K17))))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8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9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4</v>
      </c>
      <c r="R17">
        <f t="shared" ref="R17" si="30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31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441</v>
      </c>
      <c r="B18">
        <v>30</v>
      </c>
      <c r="C18">
        <v>0</v>
      </c>
      <c r="F18" s="2">
        <v>44855</v>
      </c>
      <c r="G18" s="3">
        <v>0.37262731481481487</v>
      </c>
    </row>
    <row r="19" spans="1:19" x14ac:dyDescent="0.25">
      <c r="A19">
        <v>445</v>
      </c>
      <c r="B19">
        <v>30</v>
      </c>
      <c r="C19">
        <v>0</v>
      </c>
      <c r="D19">
        <v>0</v>
      </c>
      <c r="F19" s="2">
        <v>44855</v>
      </c>
      <c r="G19" s="3">
        <v>0.37267361111111108</v>
      </c>
      <c r="H19" t="s">
        <v>31</v>
      </c>
      <c r="I19" t="s">
        <v>29</v>
      </c>
      <c r="L19" t="str">
        <f>IF(D19=0,H19,IF(D19=1,I19,IF(D19=2,J19,IF(D19=3,K19))))</f>
        <v>yellow_pencil.jpg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1</v>
      </c>
      <c r="P19">
        <f t="shared" ref="P19" si="32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3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4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5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1</v>
      </c>
    </row>
    <row r="20" spans="1:19" hidden="1" x14ac:dyDescent="0.25">
      <c r="A20">
        <v>452</v>
      </c>
      <c r="B20">
        <v>30</v>
      </c>
      <c r="C20">
        <v>0</v>
      </c>
      <c r="F20" s="2">
        <v>44855</v>
      </c>
      <c r="G20" s="3">
        <v>0.37277777777777782</v>
      </c>
    </row>
    <row r="21" spans="1:19" x14ac:dyDescent="0.25">
      <c r="A21">
        <v>464</v>
      </c>
      <c r="B21">
        <v>30</v>
      </c>
      <c r="C21">
        <v>0</v>
      </c>
      <c r="D21">
        <v>1</v>
      </c>
      <c r="F21" s="2">
        <v>44855</v>
      </c>
      <c r="G21" s="3">
        <v>0.37291666666666662</v>
      </c>
      <c r="H21" t="s">
        <v>29</v>
      </c>
      <c r="I21" t="s">
        <v>34</v>
      </c>
      <c r="J21" t="s">
        <v>35</v>
      </c>
      <c r="K21" t="s">
        <v>31</v>
      </c>
      <c r="L21" t="str">
        <f>IF(D21=0,H21,IF(D21=1,I21,IF(D21=2,J21,IF(D21=3,K21))))</f>
        <v>blue_pencil.jpg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6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7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3</v>
      </c>
      <c r="R21">
        <f t="shared" ref="R21" si="38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1</v>
      </c>
      <c r="S21">
        <f t="shared" ref="S21" si="39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4</v>
      </c>
    </row>
    <row r="22" spans="1:19" hidden="1" x14ac:dyDescent="0.25">
      <c r="A22">
        <v>476</v>
      </c>
      <c r="B22">
        <v>30</v>
      </c>
      <c r="C22">
        <v>0</v>
      </c>
      <c r="F22" s="2">
        <v>44855</v>
      </c>
      <c r="G22" s="3">
        <v>0.37304398148148149</v>
      </c>
    </row>
    <row r="23" spans="1:19" x14ac:dyDescent="0.25">
      <c r="A23">
        <v>481</v>
      </c>
      <c r="B23">
        <v>30</v>
      </c>
      <c r="C23">
        <v>0</v>
      </c>
      <c r="D23">
        <v>1</v>
      </c>
      <c r="F23" s="2">
        <v>44855</v>
      </c>
      <c r="G23" s="3">
        <v>0.37307870370370372</v>
      </c>
      <c r="H23" t="s">
        <v>31</v>
      </c>
      <c r="I23" t="s">
        <v>34</v>
      </c>
      <c r="L23" t="str">
        <f>IF(D23=0,H23,IF(D23=1,I23,IF(D23=2,J23,IF(D23=3,K23))))</f>
        <v>blue_pencil.jpg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40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41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42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3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4</v>
      </c>
    </row>
    <row r="24" spans="1:19" hidden="1" x14ac:dyDescent="0.25">
      <c r="A24">
        <v>490</v>
      </c>
      <c r="B24">
        <v>30</v>
      </c>
      <c r="C24">
        <v>1</v>
      </c>
      <c r="F24" s="2">
        <v>44855</v>
      </c>
      <c r="G24" s="3">
        <v>0.37319444444444444</v>
      </c>
    </row>
    <row r="25" spans="1:19" x14ac:dyDescent="0.25">
      <c r="A25">
        <v>511</v>
      </c>
      <c r="B25">
        <v>30</v>
      </c>
      <c r="C25">
        <v>1</v>
      </c>
      <c r="D25">
        <v>2</v>
      </c>
      <c r="F25" s="2">
        <v>44855</v>
      </c>
      <c r="G25" s="3">
        <v>0.37340277777777775</v>
      </c>
      <c r="H25" t="s">
        <v>36</v>
      </c>
      <c r="I25" t="s">
        <v>32</v>
      </c>
      <c r="J25" t="s">
        <v>30</v>
      </c>
      <c r="L25" t="str">
        <f>IF(D25=0,H25,IF(D25=1,I25,IF(D25=2,J25,IF(D25=3,K25))))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4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6</v>
      </c>
      <c r="Q25">
        <f t="shared" ref="Q25" si="45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7</v>
      </c>
      <c r="R25">
        <f t="shared" ref="R25" si="46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7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hidden="1" x14ac:dyDescent="0.25">
      <c r="A26">
        <v>520</v>
      </c>
      <c r="B26">
        <v>30</v>
      </c>
      <c r="C26">
        <v>1</v>
      </c>
      <c r="F26" s="2">
        <v>44855</v>
      </c>
      <c r="G26" s="3">
        <v>0.37350694444444449</v>
      </c>
    </row>
    <row r="27" spans="1:19" x14ac:dyDescent="0.25">
      <c r="A27">
        <v>528</v>
      </c>
      <c r="B27">
        <v>30</v>
      </c>
      <c r="C27">
        <v>1</v>
      </c>
      <c r="D27">
        <v>0</v>
      </c>
      <c r="F27" s="2">
        <v>44855</v>
      </c>
      <c r="G27" s="3">
        <v>0.37359953703703702</v>
      </c>
      <c r="H27" t="s">
        <v>33</v>
      </c>
      <c r="I27" t="s">
        <v>32</v>
      </c>
      <c r="L27" t="str">
        <f>IF(D27=0,H27,IF(D27=1,I27,IF(D27=2,J27,IF(D27=3,K27))))</f>
        <v>yellow_pen.jpg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5</v>
      </c>
      <c r="P27">
        <f t="shared" ref="P27" si="48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Q27">
        <f t="shared" ref="Q27" si="49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50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51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5</v>
      </c>
    </row>
    <row r="28" spans="1:19" hidden="1" x14ac:dyDescent="0.25">
      <c r="A28">
        <v>539</v>
      </c>
      <c r="B28">
        <v>30</v>
      </c>
      <c r="C28">
        <v>1</v>
      </c>
      <c r="F28" s="2">
        <v>44855</v>
      </c>
      <c r="G28" s="3">
        <v>0.3737037037037037</v>
      </c>
    </row>
    <row r="29" spans="1:19" x14ac:dyDescent="0.25">
      <c r="A29">
        <v>544</v>
      </c>
      <c r="B29">
        <v>30</v>
      </c>
      <c r="C29">
        <v>1</v>
      </c>
      <c r="D29">
        <v>1</v>
      </c>
      <c r="F29" s="2">
        <v>44855</v>
      </c>
      <c r="G29" s="3">
        <v>0.37376157407407407</v>
      </c>
      <c r="H29" t="s">
        <v>36</v>
      </c>
      <c r="I29" t="s">
        <v>30</v>
      </c>
      <c r="J29" t="s">
        <v>33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8</v>
      </c>
      <c r="P29">
        <f t="shared" ref="P29" si="52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Q29">
        <f t="shared" ref="Q29" si="53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5</v>
      </c>
      <c r="R29">
        <f t="shared" ref="R29" si="54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5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556</v>
      </c>
      <c r="B30">
        <v>30</v>
      </c>
      <c r="C30">
        <v>1</v>
      </c>
      <c r="F30" s="2">
        <v>44855</v>
      </c>
      <c r="G30" s="3">
        <v>0.37387731481481484</v>
      </c>
    </row>
    <row r="31" spans="1:19" x14ac:dyDescent="0.25">
      <c r="A31">
        <v>569</v>
      </c>
      <c r="B31">
        <v>30</v>
      </c>
      <c r="C31">
        <v>1</v>
      </c>
      <c r="D31">
        <v>0</v>
      </c>
      <c r="F31" s="2">
        <v>44855</v>
      </c>
      <c r="G31" s="3">
        <v>0.37403935185185189</v>
      </c>
      <c r="H31" t="s">
        <v>30</v>
      </c>
      <c r="I31" t="s">
        <v>36</v>
      </c>
      <c r="J31" t="s">
        <v>32</v>
      </c>
      <c r="K31" t="s">
        <v>33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7</v>
      </c>
      <c r="P31">
        <f t="shared" ref="P31" si="56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Q31">
        <f t="shared" ref="Q31" si="57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6</v>
      </c>
      <c r="R31">
        <f t="shared" ref="R31" si="58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5</v>
      </c>
      <c r="S31">
        <f t="shared" ref="S31" si="59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578</v>
      </c>
      <c r="B32">
        <v>30</v>
      </c>
      <c r="C32">
        <v>1</v>
      </c>
      <c r="F32" s="2">
        <v>44855</v>
      </c>
      <c r="G32" s="3">
        <v>0.37414351851851851</v>
      </c>
    </row>
    <row r="33" spans="1:19" x14ac:dyDescent="0.25">
      <c r="A33">
        <v>595</v>
      </c>
      <c r="B33">
        <v>30</v>
      </c>
      <c r="C33">
        <v>1</v>
      </c>
      <c r="D33">
        <v>0</v>
      </c>
      <c r="F33" s="2">
        <v>44855</v>
      </c>
      <c r="G33" s="3">
        <v>0.37436342592592592</v>
      </c>
      <c r="H33" t="s">
        <v>30</v>
      </c>
      <c r="I33" t="s">
        <v>32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60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6</v>
      </c>
      <c r="Q33">
        <f t="shared" ref="Q33" si="61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62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3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606</v>
      </c>
      <c r="B34">
        <v>30</v>
      </c>
      <c r="C34">
        <v>1</v>
      </c>
      <c r="F34" s="2">
        <v>44855</v>
      </c>
      <c r="G34" s="3">
        <v>0.3744791666666667</v>
      </c>
    </row>
    <row r="35" spans="1:19" x14ac:dyDescent="0.25">
      <c r="A35">
        <v>612</v>
      </c>
      <c r="B35">
        <v>30</v>
      </c>
      <c r="C35">
        <v>1</v>
      </c>
      <c r="D35">
        <v>1</v>
      </c>
      <c r="F35" s="2">
        <v>44855</v>
      </c>
      <c r="G35" s="3">
        <v>0.37460648148148151</v>
      </c>
      <c r="H35" t="s">
        <v>33</v>
      </c>
      <c r="I35" t="s">
        <v>32</v>
      </c>
      <c r="J35" t="s">
        <v>36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5</v>
      </c>
      <c r="P35">
        <f t="shared" ref="P35" si="64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6</v>
      </c>
      <c r="Q35">
        <f t="shared" ref="Q35" si="65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8</v>
      </c>
      <c r="R35">
        <f t="shared" ref="R35" si="66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7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615</v>
      </c>
      <c r="B36">
        <v>30</v>
      </c>
      <c r="C36">
        <v>1</v>
      </c>
      <c r="F36" s="2">
        <v>44855</v>
      </c>
      <c r="G36" s="3">
        <v>0.37473379629629627</v>
      </c>
    </row>
    <row r="37" spans="1:19" x14ac:dyDescent="0.25">
      <c r="A37">
        <v>618</v>
      </c>
      <c r="B37">
        <v>30</v>
      </c>
      <c r="C37">
        <v>1</v>
      </c>
      <c r="D37">
        <v>0</v>
      </c>
      <c r="F37" s="2">
        <v>44855</v>
      </c>
      <c r="G37" s="3">
        <v>0.37481481481481477</v>
      </c>
      <c r="H37" t="s">
        <v>30</v>
      </c>
      <c r="I37" t="s">
        <v>33</v>
      </c>
      <c r="L37" t="str">
        <f>IF(D37=0,H37,IF(D37=1,I37,IF(D37=2,J37,IF(D37=3,K37))))</f>
        <v>blue_pen.jpg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7</v>
      </c>
      <c r="P37">
        <f t="shared" ref="P37" si="68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Q37">
        <f t="shared" ref="Q37" si="69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70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71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7</v>
      </c>
    </row>
    <row r="38" spans="1:19" hidden="1" x14ac:dyDescent="0.25">
      <c r="A38">
        <v>621</v>
      </c>
      <c r="B38">
        <v>30</v>
      </c>
      <c r="C38">
        <v>1</v>
      </c>
      <c r="F38" s="2">
        <v>44855</v>
      </c>
      <c r="G38" s="3">
        <v>0.37493055555555554</v>
      </c>
    </row>
    <row r="39" spans="1:19" x14ac:dyDescent="0.25">
      <c r="A39">
        <v>623</v>
      </c>
      <c r="B39">
        <v>30</v>
      </c>
      <c r="C39">
        <v>1</v>
      </c>
      <c r="D39">
        <v>1</v>
      </c>
      <c r="F39" s="2">
        <v>44855</v>
      </c>
      <c r="G39" s="3">
        <v>0.37511574074074078</v>
      </c>
      <c r="H39" t="s">
        <v>36</v>
      </c>
      <c r="I39" t="s">
        <v>33</v>
      </c>
      <c r="L39" t="str">
        <f>IF(D39=0,H39,IF(D39=1,I39,IF(D39=2,J39,IF(D39=3,K39))))</f>
        <v>yellow_pen.jpg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8</v>
      </c>
      <c r="P39">
        <f t="shared" ref="P39" si="72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5</v>
      </c>
      <c r="Q39">
        <f t="shared" ref="Q39" si="73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4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5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5</v>
      </c>
    </row>
    <row r="40" spans="1:19" hidden="1" x14ac:dyDescent="0.25">
      <c r="A40">
        <v>625</v>
      </c>
      <c r="B40">
        <v>30</v>
      </c>
      <c r="C40">
        <v>1</v>
      </c>
      <c r="F40" s="2">
        <v>44855</v>
      </c>
      <c r="G40" s="3">
        <v>0.3752314814814815</v>
      </c>
    </row>
    <row r="41" spans="1:19" x14ac:dyDescent="0.25">
      <c r="A41">
        <v>628</v>
      </c>
      <c r="B41">
        <v>30</v>
      </c>
      <c r="C41">
        <v>1</v>
      </c>
      <c r="D41">
        <v>0</v>
      </c>
      <c r="F41" s="2">
        <v>44855</v>
      </c>
      <c r="G41" s="3">
        <v>0.37542824074074077</v>
      </c>
      <c r="H41" t="s">
        <v>30</v>
      </c>
      <c r="I41" t="s">
        <v>36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7</v>
      </c>
      <c r="P41">
        <f t="shared" ref="P41" si="76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8</v>
      </c>
      <c r="Q41">
        <f t="shared" ref="Q41" si="77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8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9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629</v>
      </c>
      <c r="B42">
        <v>30</v>
      </c>
      <c r="C42">
        <v>1</v>
      </c>
      <c r="F42" s="2">
        <v>44855</v>
      </c>
      <c r="G42" s="3">
        <v>0.37554398148148144</v>
      </c>
    </row>
    <row r="43" spans="1:19" x14ac:dyDescent="0.25">
      <c r="A43">
        <v>630</v>
      </c>
      <c r="B43">
        <v>30</v>
      </c>
      <c r="C43">
        <v>1</v>
      </c>
      <c r="D43">
        <v>1</v>
      </c>
      <c r="F43" s="2">
        <v>44855</v>
      </c>
      <c r="G43" s="3">
        <v>0.37568287037037035</v>
      </c>
      <c r="H43" t="s">
        <v>36</v>
      </c>
      <c r="I43" t="s">
        <v>32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80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6</v>
      </c>
      <c r="Q43">
        <f t="shared" ref="Q43" si="81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82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3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631</v>
      </c>
      <c r="B44">
        <v>30</v>
      </c>
      <c r="C44">
        <v>1</v>
      </c>
      <c r="F44" s="2">
        <v>44855</v>
      </c>
      <c r="G44" s="3">
        <v>0.37579861111111112</v>
      </c>
    </row>
    <row r="45" spans="1:19" x14ac:dyDescent="0.25">
      <c r="A45">
        <v>632</v>
      </c>
      <c r="B45">
        <v>30</v>
      </c>
      <c r="C45">
        <v>1</v>
      </c>
      <c r="D45">
        <v>0</v>
      </c>
      <c r="F45" s="2">
        <v>44855</v>
      </c>
      <c r="G45" s="3">
        <v>0.37587962962962962</v>
      </c>
      <c r="H45" t="s">
        <v>30</v>
      </c>
      <c r="I45" t="s">
        <v>32</v>
      </c>
      <c r="J45" t="s">
        <v>33</v>
      </c>
      <c r="L45" t="str">
        <f>IF(D45=0,H45,IF(D45=1,I45,IF(D45=2,J45,IF(D45=3,K45))))</f>
        <v>blue_pen.jpg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7</v>
      </c>
      <c r="P45">
        <f t="shared" ref="P45" si="84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5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5</v>
      </c>
      <c r="R45">
        <f t="shared" ref="R45" si="86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7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7</v>
      </c>
    </row>
    <row r="46" spans="1:19" hidden="1" x14ac:dyDescent="0.25">
      <c r="A46">
        <v>633</v>
      </c>
      <c r="B46">
        <v>30</v>
      </c>
      <c r="C46">
        <v>2</v>
      </c>
      <c r="F46" s="2">
        <v>44855</v>
      </c>
      <c r="G46" s="3">
        <v>0.37598379629629625</v>
      </c>
    </row>
    <row r="47" spans="1:19" x14ac:dyDescent="0.25">
      <c r="A47">
        <v>634</v>
      </c>
      <c r="B47">
        <v>30</v>
      </c>
      <c r="C47">
        <v>2</v>
      </c>
      <c r="D47">
        <v>3</v>
      </c>
      <c r="F47" s="2">
        <v>44855</v>
      </c>
      <c r="G47" s="3">
        <v>0.37606481481481485</v>
      </c>
      <c r="H47" t="s">
        <v>37</v>
      </c>
      <c r="I47" t="s">
        <v>39</v>
      </c>
      <c r="J47" t="s">
        <v>40</v>
      </c>
      <c r="K47" t="s">
        <v>38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8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9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90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91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267</v>
      </c>
      <c r="B48">
        <v>31</v>
      </c>
      <c r="C48">
        <v>0</v>
      </c>
      <c r="F48" s="2">
        <v>44855</v>
      </c>
      <c r="G48" s="3">
        <v>0.37062499999999998</v>
      </c>
    </row>
    <row r="49" spans="1:19" x14ac:dyDescent="0.25">
      <c r="A49">
        <v>270</v>
      </c>
      <c r="B49">
        <v>31</v>
      </c>
      <c r="C49">
        <v>0</v>
      </c>
      <c r="D49">
        <v>1</v>
      </c>
      <c r="F49" s="2">
        <v>44855</v>
      </c>
      <c r="G49" s="3">
        <v>0.37070601851851853</v>
      </c>
      <c r="H49" t="s">
        <v>30</v>
      </c>
      <c r="I49" t="s">
        <v>33</v>
      </c>
      <c r="J49" t="s">
        <v>36</v>
      </c>
      <c r="L49" t="str">
        <f>IF(D49=0,H49,IF(D49=1,I49,IF(D49=2,J49,IF(D49=3,K49))))</f>
        <v>yellow_pen.jpg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92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5</v>
      </c>
      <c r="Q49">
        <f t="shared" ref="Q49" si="93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8</v>
      </c>
      <c r="R49">
        <f t="shared" ref="R49" si="94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5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5</v>
      </c>
    </row>
    <row r="50" spans="1:19" hidden="1" x14ac:dyDescent="0.25">
      <c r="A50">
        <v>275</v>
      </c>
      <c r="B50">
        <v>31</v>
      </c>
      <c r="C50">
        <v>0</v>
      </c>
      <c r="F50" s="2">
        <v>44855</v>
      </c>
      <c r="G50" s="3">
        <v>0.37082175925925925</v>
      </c>
    </row>
    <row r="51" spans="1:19" x14ac:dyDescent="0.25">
      <c r="A51">
        <v>278</v>
      </c>
      <c r="B51">
        <v>31</v>
      </c>
      <c r="C51">
        <v>0</v>
      </c>
      <c r="D51">
        <v>1</v>
      </c>
      <c r="F51" s="2">
        <v>44855</v>
      </c>
      <c r="G51" s="3">
        <v>0.37086805555555552</v>
      </c>
      <c r="H51" t="s">
        <v>36</v>
      </c>
      <c r="I51" t="s">
        <v>30</v>
      </c>
      <c r="L51" t="str">
        <f>IF(D51=0,H51,IF(D51=1,I51,IF(D51=2,J51,IF(D51=3,K51))))</f>
        <v>blue_pen.jpg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8</v>
      </c>
      <c r="P51">
        <f t="shared" ref="P51" si="96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7</v>
      </c>
      <c r="Q51">
        <f t="shared" ref="Q51" si="97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8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9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7</v>
      </c>
    </row>
    <row r="52" spans="1:19" hidden="1" x14ac:dyDescent="0.25">
      <c r="A52">
        <v>287</v>
      </c>
      <c r="B52">
        <v>31</v>
      </c>
      <c r="C52">
        <v>0</v>
      </c>
      <c r="F52" s="2">
        <v>44855</v>
      </c>
      <c r="G52" s="3">
        <v>0.3709837962962963</v>
      </c>
    </row>
    <row r="53" spans="1:19" x14ac:dyDescent="0.25">
      <c r="A53">
        <v>290</v>
      </c>
      <c r="B53">
        <v>31</v>
      </c>
      <c r="C53">
        <v>0</v>
      </c>
      <c r="D53">
        <v>1</v>
      </c>
      <c r="F53" s="2">
        <v>44855</v>
      </c>
      <c r="G53" s="3">
        <v>0.37104166666666666</v>
      </c>
      <c r="H53" t="s">
        <v>30</v>
      </c>
      <c r="I53" t="s">
        <v>33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7</v>
      </c>
      <c r="P53">
        <f t="shared" ref="P53" si="100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101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102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3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301</v>
      </c>
      <c r="B54">
        <v>31</v>
      </c>
      <c r="C54">
        <v>0</v>
      </c>
      <c r="F54" s="2">
        <v>44855</v>
      </c>
      <c r="G54" s="3">
        <v>0.37114583333333334</v>
      </c>
    </row>
    <row r="55" spans="1:19" x14ac:dyDescent="0.25">
      <c r="A55">
        <v>306</v>
      </c>
      <c r="B55">
        <v>31</v>
      </c>
      <c r="C55">
        <v>0</v>
      </c>
      <c r="D55">
        <v>1</v>
      </c>
      <c r="F55" s="2">
        <v>44855</v>
      </c>
      <c r="G55" s="3">
        <v>0.37121527777777774</v>
      </c>
      <c r="H55" t="s">
        <v>36</v>
      </c>
      <c r="I55" t="s">
        <v>32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4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5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6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7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318</v>
      </c>
      <c r="B56">
        <v>31</v>
      </c>
      <c r="C56">
        <v>0</v>
      </c>
      <c r="F56" s="2">
        <v>44855</v>
      </c>
      <c r="G56" s="3">
        <v>0.37134259259259261</v>
      </c>
    </row>
    <row r="57" spans="1:19" x14ac:dyDescent="0.25">
      <c r="A57">
        <v>325</v>
      </c>
      <c r="B57">
        <v>31</v>
      </c>
      <c r="C57">
        <v>0</v>
      </c>
      <c r="D57">
        <v>0</v>
      </c>
      <c r="F57" s="2">
        <v>44855</v>
      </c>
      <c r="G57" s="3">
        <v>0.37141203703703707</v>
      </c>
      <c r="H57" t="s">
        <v>33</v>
      </c>
      <c r="I57" t="s">
        <v>32</v>
      </c>
      <c r="L57" t="str">
        <f>IF(D57=0,H57,IF(D57=1,I57,IF(D57=2,J57,IF(D57=3,K57))))</f>
        <v>yellow_pen.jpg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8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6</v>
      </c>
      <c r="Q57">
        <f t="shared" ref="Q57" si="109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10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11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5</v>
      </c>
    </row>
    <row r="58" spans="1:19" hidden="1" x14ac:dyDescent="0.25">
      <c r="A58">
        <v>337</v>
      </c>
      <c r="B58">
        <v>31</v>
      </c>
      <c r="C58">
        <v>0</v>
      </c>
      <c r="F58" s="2">
        <v>44855</v>
      </c>
      <c r="G58" s="3">
        <v>0.37153935185185188</v>
      </c>
    </row>
    <row r="59" spans="1:19" x14ac:dyDescent="0.25">
      <c r="A59">
        <v>341</v>
      </c>
      <c r="B59">
        <v>31</v>
      </c>
      <c r="C59">
        <v>0</v>
      </c>
      <c r="D59">
        <v>0</v>
      </c>
      <c r="F59" s="2">
        <v>44855</v>
      </c>
      <c r="G59" s="3">
        <v>0.37158564814814815</v>
      </c>
      <c r="H59" t="s">
        <v>33</v>
      </c>
      <c r="I59" t="s">
        <v>36</v>
      </c>
      <c r="L59" t="str">
        <f>IF(D59=0,H59,IF(D59=1,I59,IF(D59=2,J59,IF(D59=3,K59))))</f>
        <v>yellow_pen.jpg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5</v>
      </c>
      <c r="P59">
        <f t="shared" ref="P59" si="112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8</v>
      </c>
      <c r="Q59">
        <f t="shared" ref="Q59" si="113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4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5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5</v>
      </c>
    </row>
    <row r="60" spans="1:19" hidden="1" x14ac:dyDescent="0.25">
      <c r="A60">
        <v>352</v>
      </c>
      <c r="B60">
        <v>31</v>
      </c>
      <c r="C60">
        <v>0</v>
      </c>
      <c r="F60" s="2">
        <v>44855</v>
      </c>
      <c r="G60" s="3">
        <v>0.37170138888888887</v>
      </c>
    </row>
    <row r="61" spans="1:19" x14ac:dyDescent="0.25">
      <c r="A61">
        <v>357</v>
      </c>
      <c r="B61">
        <v>31</v>
      </c>
      <c r="C61">
        <v>0</v>
      </c>
      <c r="D61">
        <v>0</v>
      </c>
      <c r="F61" s="2">
        <v>44855</v>
      </c>
      <c r="G61" s="3">
        <v>0.37175925925925929</v>
      </c>
      <c r="H61" t="s">
        <v>30</v>
      </c>
      <c r="I61" t="s">
        <v>32</v>
      </c>
      <c r="L61" t="str">
        <f>IF(D61=0,H61,IF(D61=1,I61,IF(D61=2,J61,IF(D61=3,K61))))</f>
        <v>blue_pen.jpg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6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6</v>
      </c>
      <c r="Q61">
        <f t="shared" ref="Q61" si="117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8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9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7</v>
      </c>
    </row>
    <row r="62" spans="1:19" hidden="1" x14ac:dyDescent="0.25">
      <c r="A62">
        <v>366</v>
      </c>
      <c r="B62">
        <v>31</v>
      </c>
      <c r="C62">
        <v>0</v>
      </c>
      <c r="F62" s="2">
        <v>44855</v>
      </c>
      <c r="G62" s="3">
        <v>0.37186342592592592</v>
      </c>
    </row>
    <row r="63" spans="1:19" x14ac:dyDescent="0.25">
      <c r="A63">
        <v>374</v>
      </c>
      <c r="B63">
        <v>31</v>
      </c>
      <c r="C63">
        <v>0</v>
      </c>
      <c r="D63">
        <v>2</v>
      </c>
      <c r="F63" s="2">
        <v>44855</v>
      </c>
      <c r="G63" s="3">
        <v>0.37193287037037037</v>
      </c>
      <c r="H63" t="s">
        <v>30</v>
      </c>
      <c r="I63" t="s">
        <v>32</v>
      </c>
      <c r="J63" t="s">
        <v>33</v>
      </c>
      <c r="K63" t="s">
        <v>36</v>
      </c>
      <c r="L63" t="str">
        <f>IF(D63=0,H63,IF(D63=1,I63,IF(D63=2,J63,IF(D63=3,K63))))</f>
        <v>yellow_pen.jpg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7</v>
      </c>
      <c r="P63">
        <f t="shared" ref="P63" si="120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6</v>
      </c>
      <c r="Q63">
        <f t="shared" ref="Q63" si="121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5</v>
      </c>
      <c r="R63">
        <f t="shared" ref="R63" si="122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8</v>
      </c>
      <c r="S63">
        <f t="shared" ref="S63" si="123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5</v>
      </c>
    </row>
    <row r="64" spans="1:19" hidden="1" x14ac:dyDescent="0.25">
      <c r="A64">
        <v>384</v>
      </c>
      <c r="B64">
        <v>31</v>
      </c>
      <c r="C64">
        <v>0</v>
      </c>
      <c r="F64" s="2">
        <v>44855</v>
      </c>
      <c r="G64" s="3">
        <v>0.37204861111111115</v>
      </c>
    </row>
    <row r="65" spans="1:19" x14ac:dyDescent="0.25">
      <c r="A65">
        <v>390</v>
      </c>
      <c r="B65">
        <v>31</v>
      </c>
      <c r="C65">
        <v>0</v>
      </c>
      <c r="D65">
        <v>1</v>
      </c>
      <c r="F65" s="2">
        <v>44855</v>
      </c>
      <c r="G65" s="3">
        <v>0.37210648148148145</v>
      </c>
      <c r="H65" t="s">
        <v>36</v>
      </c>
      <c r="I65" t="s">
        <v>30</v>
      </c>
      <c r="J65" t="s">
        <v>32</v>
      </c>
      <c r="L65" t="str">
        <f>IF(D65=0,H65,IF(D65=1,I65,IF(D65=2,J65,IF(D65=3,K65))))</f>
        <v>blue_pen.jpg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8</v>
      </c>
      <c r="P65">
        <f t="shared" ref="P65" si="124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7</v>
      </c>
      <c r="Q65">
        <f t="shared" ref="Q65" si="125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6</v>
      </c>
      <c r="R65">
        <f t="shared" ref="R65" si="126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7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7</v>
      </c>
    </row>
    <row r="66" spans="1:19" hidden="1" x14ac:dyDescent="0.25">
      <c r="A66">
        <v>402</v>
      </c>
      <c r="B66">
        <v>31</v>
      </c>
      <c r="C66">
        <v>0</v>
      </c>
      <c r="F66" s="2">
        <v>44855</v>
      </c>
      <c r="G66" s="3">
        <v>0.37221064814814814</v>
      </c>
    </row>
    <row r="67" spans="1:19" x14ac:dyDescent="0.25">
      <c r="A67">
        <v>404</v>
      </c>
      <c r="B67">
        <v>31</v>
      </c>
      <c r="C67">
        <v>0</v>
      </c>
      <c r="D67">
        <v>1</v>
      </c>
      <c r="F67" s="2">
        <v>44855</v>
      </c>
      <c r="G67" s="3">
        <v>0.37226851851851855</v>
      </c>
      <c r="H67" t="s">
        <v>32</v>
      </c>
      <c r="I67" t="s">
        <v>33</v>
      </c>
      <c r="J67" t="s">
        <v>36</v>
      </c>
      <c r="L67" t="str">
        <f>IF(D67=0,H67,IF(D67=1,I67,IF(D67=2,J67,IF(D67=3,K67))))</f>
        <v>yellow_pen.jpg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8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5</v>
      </c>
      <c r="Q67">
        <f t="shared" ref="Q67" si="129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8</v>
      </c>
      <c r="R67">
        <f t="shared" ref="R67" si="130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31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5</v>
      </c>
    </row>
    <row r="68" spans="1:19" hidden="1" x14ac:dyDescent="0.25">
      <c r="A68">
        <v>417</v>
      </c>
      <c r="B68">
        <v>31</v>
      </c>
      <c r="C68">
        <v>0</v>
      </c>
      <c r="F68" s="2">
        <v>44855</v>
      </c>
      <c r="G68" s="3">
        <v>0.37238425925925928</v>
      </c>
    </row>
    <row r="69" spans="1:19" x14ac:dyDescent="0.25">
      <c r="A69">
        <v>421</v>
      </c>
      <c r="B69">
        <v>31</v>
      </c>
      <c r="C69">
        <v>0</v>
      </c>
      <c r="D69">
        <v>0</v>
      </c>
      <c r="F69" s="2">
        <v>44855</v>
      </c>
      <c r="G69" s="3">
        <v>0.37245370370370368</v>
      </c>
      <c r="H69" t="s">
        <v>33</v>
      </c>
      <c r="I69" t="s">
        <v>32</v>
      </c>
      <c r="J69" t="s">
        <v>30</v>
      </c>
      <c r="L69" t="str">
        <f>IF(D69=0,H69,IF(D69=1,I69,IF(D69=2,J69,IF(D69=3,K69))))</f>
        <v>yellow_pen.jpg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32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3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7</v>
      </c>
      <c r="R69">
        <f t="shared" ref="R69" si="134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5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5</v>
      </c>
    </row>
    <row r="70" spans="1:19" hidden="1" x14ac:dyDescent="0.25">
      <c r="A70">
        <v>432</v>
      </c>
      <c r="B70">
        <v>31</v>
      </c>
      <c r="C70">
        <v>1</v>
      </c>
      <c r="F70" s="2">
        <v>44855</v>
      </c>
      <c r="G70" s="3">
        <v>0.37255787037037041</v>
      </c>
    </row>
    <row r="71" spans="1:19" x14ac:dyDescent="0.25">
      <c r="A71">
        <v>439</v>
      </c>
      <c r="B71">
        <v>31</v>
      </c>
      <c r="C71">
        <v>1</v>
      </c>
      <c r="D71">
        <v>0</v>
      </c>
      <c r="F71" s="2">
        <v>44855</v>
      </c>
      <c r="G71" s="3">
        <v>0.37262731481481487</v>
      </c>
      <c r="H71" t="s">
        <v>29</v>
      </c>
      <c r="I71" t="s">
        <v>34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2</v>
      </c>
      <c r="P71">
        <f t="shared" ref="P71" si="136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7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8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9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448</v>
      </c>
      <c r="B72">
        <v>31</v>
      </c>
      <c r="C72">
        <v>1</v>
      </c>
      <c r="F72" s="2">
        <v>44855</v>
      </c>
      <c r="G72" s="3">
        <v>0.3727314814814815</v>
      </c>
    </row>
    <row r="73" spans="1:19" x14ac:dyDescent="0.25">
      <c r="A73">
        <v>455</v>
      </c>
      <c r="B73">
        <v>31</v>
      </c>
      <c r="C73">
        <v>1</v>
      </c>
      <c r="D73">
        <v>1</v>
      </c>
      <c r="F73" s="2">
        <v>44855</v>
      </c>
      <c r="G73" s="3">
        <v>0.37280092592592595</v>
      </c>
      <c r="H73" t="s">
        <v>34</v>
      </c>
      <c r="I73" t="s">
        <v>31</v>
      </c>
      <c r="L73" t="str">
        <f>IF(D73=0,H73,IF(D73=1,I73,IF(D73=2,J73,IF(D73=3,K73))))</f>
        <v>yellow_pencil.jpg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4</v>
      </c>
      <c r="P73">
        <f t="shared" ref="P73" si="140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41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42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3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1</v>
      </c>
    </row>
    <row r="74" spans="1:19" hidden="1" x14ac:dyDescent="0.25">
      <c r="A74">
        <v>462</v>
      </c>
      <c r="B74">
        <v>31</v>
      </c>
      <c r="C74">
        <v>1</v>
      </c>
      <c r="F74" s="2">
        <v>44855</v>
      </c>
      <c r="G74" s="3">
        <v>0.37291666666666662</v>
      </c>
    </row>
    <row r="75" spans="1:19" x14ac:dyDescent="0.25">
      <c r="A75">
        <v>472</v>
      </c>
      <c r="B75">
        <v>31</v>
      </c>
      <c r="C75">
        <v>1</v>
      </c>
      <c r="D75">
        <v>1</v>
      </c>
      <c r="F75" s="2">
        <v>44855</v>
      </c>
      <c r="G75" s="3">
        <v>0.37296296296296294</v>
      </c>
      <c r="H75" t="s">
        <v>34</v>
      </c>
      <c r="I75" t="s">
        <v>35</v>
      </c>
      <c r="L75" t="str">
        <f>IF(D75=0,H75,IF(D75=1,I75,IF(D75=2,J75,IF(D75=3,K75))))</f>
        <v>orange_pencil.jpg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4</v>
      </c>
      <c r="P75">
        <f t="shared" ref="P75" si="144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5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6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7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3</v>
      </c>
    </row>
    <row r="76" spans="1:19" hidden="1" x14ac:dyDescent="0.25">
      <c r="A76">
        <v>483</v>
      </c>
      <c r="B76">
        <v>31</v>
      </c>
      <c r="C76">
        <v>1</v>
      </c>
      <c r="F76" s="2">
        <v>44855</v>
      </c>
      <c r="G76" s="3">
        <v>0.37307870370370372</v>
      </c>
    </row>
    <row r="77" spans="1:19" x14ac:dyDescent="0.25">
      <c r="A77">
        <v>488</v>
      </c>
      <c r="B77">
        <v>31</v>
      </c>
      <c r="C77">
        <v>1</v>
      </c>
      <c r="D77">
        <v>2</v>
      </c>
      <c r="F77" s="2">
        <v>44855</v>
      </c>
      <c r="G77" s="3">
        <v>0.37313657407407402</v>
      </c>
      <c r="H77" t="s">
        <v>34</v>
      </c>
      <c r="I77" t="s">
        <v>31</v>
      </c>
      <c r="J77" t="s">
        <v>29</v>
      </c>
      <c r="L77" t="str">
        <f>IF(D77=0,H77,IF(D77=1,I77,IF(D77=2,J77,IF(D77=3,K77))))</f>
        <v>red_pencil.jpg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8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1</v>
      </c>
      <c r="Q77">
        <f t="shared" ref="Q77" si="149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2</v>
      </c>
      <c r="R77">
        <f t="shared" ref="R77" si="150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51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2</v>
      </c>
    </row>
    <row r="78" spans="1:19" hidden="1" x14ac:dyDescent="0.25">
      <c r="A78">
        <v>495</v>
      </c>
      <c r="B78">
        <v>31</v>
      </c>
      <c r="C78">
        <v>1</v>
      </c>
      <c r="F78" s="2">
        <v>44855</v>
      </c>
      <c r="G78" s="3">
        <v>0.37324074074074076</v>
      </c>
    </row>
    <row r="79" spans="1:19" x14ac:dyDescent="0.25">
      <c r="A79">
        <v>501</v>
      </c>
      <c r="B79">
        <v>31</v>
      </c>
      <c r="C79">
        <v>1</v>
      </c>
      <c r="D79">
        <v>1</v>
      </c>
      <c r="F79" s="2">
        <v>44855</v>
      </c>
      <c r="G79" s="3">
        <v>0.37328703703703708</v>
      </c>
      <c r="H79" t="s">
        <v>31</v>
      </c>
      <c r="I79" t="s">
        <v>35</v>
      </c>
      <c r="J79" t="s">
        <v>34</v>
      </c>
      <c r="K79" t="s">
        <v>29</v>
      </c>
      <c r="L79" t="str">
        <f>IF(D79=0,H79,IF(D79=1,I79,IF(D79=2,J79,IF(D79=3,K79))))</f>
        <v>orange_pencil.jpg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52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3</v>
      </c>
      <c r="Q79">
        <f t="shared" ref="Q79" si="153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4</v>
      </c>
      <c r="R79">
        <f t="shared" ref="R79" si="154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2</v>
      </c>
      <c r="S79">
        <f t="shared" ref="S79" si="155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3</v>
      </c>
    </row>
    <row r="80" spans="1:19" hidden="1" x14ac:dyDescent="0.25">
      <c r="A80">
        <v>510</v>
      </c>
      <c r="B80">
        <v>31</v>
      </c>
      <c r="C80">
        <v>1</v>
      </c>
      <c r="F80" s="2">
        <v>44855</v>
      </c>
      <c r="G80" s="3">
        <v>0.37340277777777775</v>
      </c>
    </row>
    <row r="81" spans="1:19" x14ac:dyDescent="0.25">
      <c r="A81">
        <v>518</v>
      </c>
      <c r="B81">
        <v>31</v>
      </c>
      <c r="C81">
        <v>1</v>
      </c>
      <c r="D81">
        <v>1</v>
      </c>
      <c r="F81" s="2">
        <v>44855</v>
      </c>
      <c r="G81" s="3">
        <v>0.37349537037037034</v>
      </c>
      <c r="H81" t="s">
        <v>29</v>
      </c>
      <c r="I81" t="s">
        <v>35</v>
      </c>
      <c r="L81" t="str">
        <f>IF(D81=0,H81,IF(D81=1,I81,IF(D81=2,J81,IF(D81=3,K81))))</f>
        <v>orange_pencil.jpg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6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3</v>
      </c>
      <c r="Q81">
        <f t="shared" ref="Q81" si="157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8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9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3</v>
      </c>
    </row>
    <row r="82" spans="1:19" hidden="1" x14ac:dyDescent="0.25">
      <c r="A82">
        <v>530</v>
      </c>
      <c r="B82">
        <v>31</v>
      </c>
      <c r="C82">
        <v>1</v>
      </c>
      <c r="F82" s="2">
        <v>44855</v>
      </c>
      <c r="G82" s="3">
        <v>0.37362268518518515</v>
      </c>
    </row>
    <row r="83" spans="1:19" x14ac:dyDescent="0.25">
      <c r="A83">
        <v>538</v>
      </c>
      <c r="B83">
        <v>31</v>
      </c>
      <c r="C83">
        <v>1</v>
      </c>
      <c r="D83">
        <v>1</v>
      </c>
      <c r="F83" s="2">
        <v>44855</v>
      </c>
      <c r="G83" s="3">
        <v>0.3737037037037037</v>
      </c>
      <c r="H83" t="s">
        <v>31</v>
      </c>
      <c r="I83" t="s">
        <v>29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60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2</v>
      </c>
      <c r="Q83">
        <f t="shared" ref="Q83" si="161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62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3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hidden="1" x14ac:dyDescent="0.25">
      <c r="A84">
        <v>550</v>
      </c>
      <c r="B84">
        <v>31</v>
      </c>
      <c r="C84">
        <v>1</v>
      </c>
      <c r="F84" s="2">
        <v>44855</v>
      </c>
      <c r="G84" s="3">
        <v>0.37383101851851852</v>
      </c>
    </row>
    <row r="85" spans="1:19" x14ac:dyDescent="0.25">
      <c r="A85">
        <v>555</v>
      </c>
      <c r="B85">
        <v>31</v>
      </c>
      <c r="C85">
        <v>1</v>
      </c>
      <c r="D85">
        <v>2</v>
      </c>
      <c r="F85" s="2">
        <v>44855</v>
      </c>
      <c r="G85" s="3">
        <v>0.37387731481481484</v>
      </c>
      <c r="H85" t="s">
        <v>34</v>
      </c>
      <c r="I85" t="s">
        <v>29</v>
      </c>
      <c r="J85" t="s">
        <v>35</v>
      </c>
      <c r="L85" t="str">
        <f>IF(D85=0,H85,IF(D85=1,I85,IF(D85=2,J85,IF(D85=3,K85))))</f>
        <v>orange_pencil.jpg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4</v>
      </c>
      <c r="P85">
        <f t="shared" ref="P85" si="164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2</v>
      </c>
      <c r="Q85">
        <f t="shared" ref="Q85" si="165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3</v>
      </c>
      <c r="R85">
        <f t="shared" ref="R85" si="166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7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3</v>
      </c>
    </row>
    <row r="86" spans="1:19" hidden="1" x14ac:dyDescent="0.25">
      <c r="A86">
        <v>565</v>
      </c>
      <c r="B86">
        <v>31</v>
      </c>
      <c r="C86">
        <v>1</v>
      </c>
      <c r="F86" s="2">
        <v>44855</v>
      </c>
      <c r="G86" s="3">
        <v>0.37399305555555556</v>
      </c>
    </row>
    <row r="87" spans="1:19" x14ac:dyDescent="0.25">
      <c r="A87">
        <v>568</v>
      </c>
      <c r="B87">
        <v>31</v>
      </c>
      <c r="C87">
        <v>1</v>
      </c>
      <c r="D87">
        <v>1</v>
      </c>
      <c r="F87" s="2">
        <v>44855</v>
      </c>
      <c r="G87" s="3">
        <v>0.37403935185185189</v>
      </c>
      <c r="H87" t="s">
        <v>31</v>
      </c>
      <c r="I87" t="s">
        <v>35</v>
      </c>
      <c r="L87" t="str">
        <f>IF(D87=0,H87,IF(D87=1,I87,IF(D87=2,J87,IF(D87=3,K87))))</f>
        <v>orange_pencil.jpg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8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3</v>
      </c>
      <c r="Q87">
        <f t="shared" ref="Q87" si="169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70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71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3</v>
      </c>
    </row>
    <row r="88" spans="1:19" hidden="1" x14ac:dyDescent="0.25">
      <c r="A88">
        <v>581</v>
      </c>
      <c r="B88">
        <v>31</v>
      </c>
      <c r="C88">
        <v>1</v>
      </c>
      <c r="F88" s="2">
        <v>44855</v>
      </c>
      <c r="G88" s="3">
        <v>0.3741666666666667</v>
      </c>
    </row>
    <row r="89" spans="1:19" x14ac:dyDescent="0.25">
      <c r="A89">
        <v>584</v>
      </c>
      <c r="B89">
        <v>31</v>
      </c>
      <c r="C89">
        <v>1</v>
      </c>
      <c r="D89">
        <v>0</v>
      </c>
      <c r="F89" s="2">
        <v>44855</v>
      </c>
      <c r="G89" s="3">
        <v>0.37420138888888888</v>
      </c>
      <c r="H89" t="s">
        <v>35</v>
      </c>
      <c r="I89" t="s">
        <v>31</v>
      </c>
      <c r="J89" t="s">
        <v>29</v>
      </c>
      <c r="L89" t="str">
        <f>IF(D89=0,H89,IF(D89=1,I89,IF(D89=2,J89,IF(D89=3,K89))))</f>
        <v>orange_pencil.jpg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3</v>
      </c>
      <c r="P89">
        <f t="shared" ref="P89" si="172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3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2</v>
      </c>
      <c r="R89">
        <f t="shared" ref="R89" si="174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5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3</v>
      </c>
    </row>
    <row r="90" spans="1:19" hidden="1" x14ac:dyDescent="0.25">
      <c r="A90">
        <v>593</v>
      </c>
      <c r="B90">
        <v>31</v>
      </c>
      <c r="C90">
        <v>1</v>
      </c>
      <c r="F90" s="2">
        <v>44855</v>
      </c>
      <c r="G90" s="3">
        <v>0.37432870370370369</v>
      </c>
    </row>
    <row r="91" spans="1:19" x14ac:dyDescent="0.25">
      <c r="A91">
        <v>596</v>
      </c>
      <c r="B91">
        <v>31</v>
      </c>
      <c r="C91">
        <v>1</v>
      </c>
      <c r="D91">
        <v>1</v>
      </c>
      <c r="F91" s="2">
        <v>44855</v>
      </c>
      <c r="G91" s="3">
        <v>0.37437499999999996</v>
      </c>
      <c r="H91" t="s">
        <v>31</v>
      </c>
      <c r="I91" t="s">
        <v>35</v>
      </c>
      <c r="J91" t="s">
        <v>34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1</v>
      </c>
      <c r="P91">
        <f t="shared" ref="P91" si="176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7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4</v>
      </c>
      <c r="R91">
        <f t="shared" ref="R91" si="178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9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603</v>
      </c>
      <c r="B92">
        <v>31</v>
      </c>
      <c r="C92">
        <v>2</v>
      </c>
      <c r="F92" s="2">
        <v>44855</v>
      </c>
      <c r="G92" s="3">
        <v>0.3744791666666667</v>
      </c>
    </row>
    <row r="93" spans="1:19" x14ac:dyDescent="0.25">
      <c r="A93">
        <v>610</v>
      </c>
      <c r="B93">
        <v>31</v>
      </c>
      <c r="C93">
        <v>2</v>
      </c>
      <c r="D93">
        <v>3</v>
      </c>
      <c r="F93" s="2">
        <v>44855</v>
      </c>
      <c r="G93" s="3">
        <v>0.37458333333333332</v>
      </c>
      <c r="H93" t="s">
        <v>40</v>
      </c>
      <c r="I93" t="s">
        <v>38</v>
      </c>
      <c r="J93" t="s">
        <v>37</v>
      </c>
      <c r="K93" t="s">
        <v>39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80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81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82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3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271</v>
      </c>
      <c r="B94">
        <v>33</v>
      </c>
      <c r="C94">
        <v>0</v>
      </c>
      <c r="F94" s="2">
        <v>44855</v>
      </c>
      <c r="G94" s="3">
        <v>0.37072916666666672</v>
      </c>
    </row>
    <row r="95" spans="1:19" x14ac:dyDescent="0.25">
      <c r="A95">
        <v>272</v>
      </c>
      <c r="B95">
        <v>33</v>
      </c>
      <c r="C95">
        <v>0</v>
      </c>
      <c r="D95">
        <v>0</v>
      </c>
      <c r="F95" s="2">
        <v>44855</v>
      </c>
      <c r="G95" s="3">
        <v>0.37077546296296293</v>
      </c>
      <c r="H95" t="s">
        <v>36</v>
      </c>
      <c r="I95" t="s">
        <v>32</v>
      </c>
      <c r="L95" t="str">
        <f>IF(D95=0,H95,IF(D95=1,I95,IF(D95=2,J95,IF(D95=3,K95))))</f>
        <v>green_pen.jpg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4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5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6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7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8</v>
      </c>
    </row>
    <row r="96" spans="1:19" hidden="1" x14ac:dyDescent="0.25">
      <c r="A96">
        <v>279</v>
      </c>
      <c r="B96">
        <v>33</v>
      </c>
      <c r="C96">
        <v>0</v>
      </c>
      <c r="F96" s="2">
        <v>44855</v>
      </c>
      <c r="G96" s="3">
        <v>0.37089120370370371</v>
      </c>
    </row>
    <row r="97" spans="1:19" x14ac:dyDescent="0.25">
      <c r="A97">
        <v>283</v>
      </c>
      <c r="B97">
        <v>33</v>
      </c>
      <c r="C97">
        <v>0</v>
      </c>
      <c r="D97">
        <v>0</v>
      </c>
      <c r="F97" s="2">
        <v>44855</v>
      </c>
      <c r="G97" s="3">
        <v>0.37093749999999998</v>
      </c>
      <c r="H97" t="s">
        <v>30</v>
      </c>
      <c r="I97" t="s">
        <v>33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8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9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90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91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292</v>
      </c>
      <c r="B98">
        <v>33</v>
      </c>
      <c r="C98">
        <v>0</v>
      </c>
      <c r="F98" s="2">
        <v>44855</v>
      </c>
      <c r="G98" s="3">
        <v>0.37105324074074075</v>
      </c>
    </row>
    <row r="99" spans="1:19" x14ac:dyDescent="0.25">
      <c r="A99">
        <v>299</v>
      </c>
      <c r="B99">
        <v>33</v>
      </c>
      <c r="C99">
        <v>0</v>
      </c>
      <c r="D99">
        <v>0</v>
      </c>
      <c r="F99" s="2">
        <v>44855</v>
      </c>
      <c r="G99" s="3">
        <v>0.37113425925925925</v>
      </c>
      <c r="H99" t="s">
        <v>33</v>
      </c>
      <c r="I99" t="s">
        <v>32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92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3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4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5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311</v>
      </c>
      <c r="B100">
        <v>33</v>
      </c>
      <c r="C100">
        <v>0</v>
      </c>
      <c r="F100" s="2">
        <v>44855</v>
      </c>
      <c r="G100" s="3">
        <v>0.37123842592592587</v>
      </c>
    </row>
    <row r="101" spans="1:19" x14ac:dyDescent="0.25">
      <c r="A101">
        <v>313</v>
      </c>
      <c r="B101">
        <v>33</v>
      </c>
      <c r="C101">
        <v>0</v>
      </c>
      <c r="D101">
        <v>2</v>
      </c>
      <c r="F101" s="2">
        <v>44855</v>
      </c>
      <c r="G101" s="3">
        <v>0.37127314814814816</v>
      </c>
      <c r="H101" t="s">
        <v>30</v>
      </c>
      <c r="I101" t="s">
        <v>32</v>
      </c>
      <c r="J101" t="s">
        <v>36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 t="shared" ref="P101" si="196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7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8</v>
      </c>
      <c r="R101">
        <f t="shared" ref="R101" si="198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9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324</v>
      </c>
      <c r="B102">
        <v>33</v>
      </c>
      <c r="C102">
        <v>0</v>
      </c>
      <c r="F102" s="2">
        <v>44855</v>
      </c>
      <c r="G102" s="3">
        <v>0.37140046296296297</v>
      </c>
    </row>
    <row r="103" spans="1:19" x14ac:dyDescent="0.25">
      <c r="A103">
        <v>328</v>
      </c>
      <c r="B103">
        <v>33</v>
      </c>
      <c r="C103">
        <v>0</v>
      </c>
      <c r="D103">
        <v>1</v>
      </c>
      <c r="F103" s="2">
        <v>44855</v>
      </c>
      <c r="G103" s="3">
        <v>0.37144675925925924</v>
      </c>
      <c r="H103" t="s">
        <v>32</v>
      </c>
      <c r="I103" t="s">
        <v>30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200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201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202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3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hidden="1" x14ac:dyDescent="0.25">
      <c r="A104">
        <v>339</v>
      </c>
      <c r="B104">
        <v>33</v>
      </c>
      <c r="C104">
        <v>0</v>
      </c>
      <c r="F104" s="2">
        <v>44855</v>
      </c>
      <c r="G104" s="3">
        <v>0.37157407407407406</v>
      </c>
    </row>
    <row r="105" spans="1:19" x14ac:dyDescent="0.25">
      <c r="A105">
        <v>344</v>
      </c>
      <c r="B105">
        <v>33</v>
      </c>
      <c r="C105">
        <v>0</v>
      </c>
      <c r="D105">
        <v>1</v>
      </c>
      <c r="F105" s="2">
        <v>44855</v>
      </c>
      <c r="G105" s="3">
        <v>0.37162037037037038</v>
      </c>
      <c r="H105" t="s">
        <v>30</v>
      </c>
      <c r="I105" t="s">
        <v>36</v>
      </c>
      <c r="L105" t="str">
        <f>IF(D105=0,H105,IF(D105=1,I105,IF(D105=2,J105,IF(D105=3,K105))))</f>
        <v>green_pen.jpg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7</v>
      </c>
      <c r="P105">
        <f t="shared" ref="P105" si="204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5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6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7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8</v>
      </c>
    </row>
    <row r="106" spans="1:19" hidden="1" x14ac:dyDescent="0.25">
      <c r="A106">
        <v>354</v>
      </c>
      <c r="B106">
        <v>33</v>
      </c>
      <c r="C106">
        <v>0</v>
      </c>
      <c r="F106" s="2">
        <v>44855</v>
      </c>
      <c r="G106" s="3">
        <v>0.3717361111111111</v>
      </c>
    </row>
    <row r="107" spans="1:19" x14ac:dyDescent="0.25">
      <c r="A107">
        <v>359</v>
      </c>
      <c r="B107">
        <v>33</v>
      </c>
      <c r="C107">
        <v>0</v>
      </c>
      <c r="D107">
        <v>1</v>
      </c>
      <c r="F107" s="2">
        <v>44855</v>
      </c>
      <c r="G107" s="3">
        <v>0.37177083333333333</v>
      </c>
      <c r="H107" t="s">
        <v>32</v>
      </c>
      <c r="I107" t="s">
        <v>30</v>
      </c>
      <c r="J107" t="s">
        <v>33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8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9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5</v>
      </c>
      <c r="R107">
        <f t="shared" ref="R107" si="210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11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369</v>
      </c>
      <c r="B108">
        <v>33</v>
      </c>
      <c r="C108">
        <v>0</v>
      </c>
      <c r="F108" s="2">
        <v>44855</v>
      </c>
      <c r="G108" s="3">
        <v>0.37188657407407405</v>
      </c>
    </row>
    <row r="109" spans="1:19" x14ac:dyDescent="0.25">
      <c r="A109">
        <v>373</v>
      </c>
      <c r="B109">
        <v>33</v>
      </c>
      <c r="C109">
        <v>0</v>
      </c>
      <c r="D109">
        <v>0</v>
      </c>
      <c r="F109" s="2">
        <v>44855</v>
      </c>
      <c r="G109" s="3">
        <v>0.37192129629629633</v>
      </c>
      <c r="H109" t="s">
        <v>36</v>
      </c>
      <c r="I109" t="s">
        <v>33</v>
      </c>
      <c r="J109" t="s">
        <v>30</v>
      </c>
      <c r="K109" t="s">
        <v>32</v>
      </c>
      <c r="L109" t="str">
        <f>IF(D109=0,H109,IF(D109=1,I109,IF(D109=2,J109,IF(D109=3,K109))))</f>
        <v>green_pen.jpg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8</v>
      </c>
      <c r="P109">
        <f t="shared" ref="P109" si="212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3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7</v>
      </c>
      <c r="R109">
        <f t="shared" ref="R109" si="214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6</v>
      </c>
      <c r="S109">
        <f t="shared" ref="S109" si="215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8</v>
      </c>
    </row>
    <row r="110" spans="1:19" hidden="1" x14ac:dyDescent="0.25">
      <c r="A110">
        <v>383</v>
      </c>
      <c r="B110">
        <v>33</v>
      </c>
      <c r="C110">
        <v>0</v>
      </c>
      <c r="F110" s="2">
        <v>44855</v>
      </c>
      <c r="G110" s="3">
        <v>0.37202546296296296</v>
      </c>
    </row>
    <row r="111" spans="1:19" x14ac:dyDescent="0.25">
      <c r="A111">
        <v>387</v>
      </c>
      <c r="B111">
        <v>33</v>
      </c>
      <c r="C111">
        <v>0</v>
      </c>
      <c r="D111">
        <v>0</v>
      </c>
      <c r="F111" s="2">
        <v>44855</v>
      </c>
      <c r="G111" s="3">
        <v>0.37206018518518519</v>
      </c>
      <c r="H111" t="s">
        <v>36</v>
      </c>
      <c r="I111" t="s">
        <v>33</v>
      </c>
      <c r="J111" t="s">
        <v>30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8</v>
      </c>
      <c r="P111">
        <f t="shared" ref="P111" si="216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5</v>
      </c>
      <c r="Q111">
        <f t="shared" ref="Q111" si="217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7</v>
      </c>
      <c r="R111">
        <f t="shared" ref="R111" si="218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9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395</v>
      </c>
      <c r="B112">
        <v>33</v>
      </c>
      <c r="C112">
        <v>0</v>
      </c>
      <c r="F112" s="2">
        <v>44855</v>
      </c>
      <c r="G112" s="3">
        <v>0.37216435185185182</v>
      </c>
    </row>
    <row r="113" spans="1:19" x14ac:dyDescent="0.25">
      <c r="A113">
        <v>400</v>
      </c>
      <c r="B113">
        <v>33</v>
      </c>
      <c r="C113">
        <v>0</v>
      </c>
      <c r="D113">
        <v>0</v>
      </c>
      <c r="F113" s="2">
        <v>44855</v>
      </c>
      <c r="G113" s="3">
        <v>0.3721990740740741</v>
      </c>
      <c r="H113" t="s">
        <v>36</v>
      </c>
      <c r="I113" t="s">
        <v>33</v>
      </c>
      <c r="L113" t="str">
        <f>IF(D113=0,H113,IF(D113=1,I113,IF(D113=2,J113,IF(D113=3,K113))))</f>
        <v>green_pen.jpg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20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21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22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3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8</v>
      </c>
    </row>
    <row r="114" spans="1:19" hidden="1" x14ac:dyDescent="0.25">
      <c r="A114">
        <v>411</v>
      </c>
      <c r="B114">
        <v>33</v>
      </c>
      <c r="C114">
        <v>0</v>
      </c>
      <c r="F114" s="2">
        <v>44855</v>
      </c>
      <c r="G114" s="3">
        <v>0.37232638888888886</v>
      </c>
    </row>
    <row r="115" spans="1:19" x14ac:dyDescent="0.25">
      <c r="A115">
        <v>413</v>
      </c>
      <c r="B115">
        <v>33</v>
      </c>
      <c r="C115">
        <v>0</v>
      </c>
      <c r="D115">
        <v>0</v>
      </c>
      <c r="F115" s="2">
        <v>44855</v>
      </c>
      <c r="G115" s="3">
        <v>0.37234953703703705</v>
      </c>
      <c r="H115" t="s">
        <v>36</v>
      </c>
      <c r="I115" t="s">
        <v>32</v>
      </c>
      <c r="J115" t="s">
        <v>33</v>
      </c>
      <c r="L115" t="str">
        <f>IF(D115=0,H115,IF(D115=1,I115,IF(D115=2,J115,IF(D115=3,K115))))</f>
        <v>green_pen.jpg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4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5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5</v>
      </c>
      <c r="R115">
        <f t="shared" ref="R115" si="226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7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8</v>
      </c>
    </row>
    <row r="116" spans="1:19" hidden="1" x14ac:dyDescent="0.25">
      <c r="A116">
        <v>424</v>
      </c>
      <c r="B116">
        <v>33</v>
      </c>
      <c r="C116">
        <v>1</v>
      </c>
      <c r="F116" s="2">
        <v>44855</v>
      </c>
      <c r="G116" s="3">
        <v>0.37246527777777777</v>
      </c>
    </row>
    <row r="117" spans="1:19" x14ac:dyDescent="0.25">
      <c r="A117">
        <v>427</v>
      </c>
      <c r="B117">
        <v>33</v>
      </c>
      <c r="C117">
        <v>1</v>
      </c>
      <c r="D117">
        <v>1</v>
      </c>
      <c r="F117" s="2">
        <v>44855</v>
      </c>
      <c r="G117" s="3">
        <v>0.3725</v>
      </c>
      <c r="H117" t="s">
        <v>35</v>
      </c>
      <c r="I117" t="s">
        <v>31</v>
      </c>
      <c r="L117" t="str">
        <f>IF(D117=0,H117,IF(D117=1,I117,IF(D117=2,J117,IF(D117=3,K117))))</f>
        <v>yellow_pencil.jpg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3</v>
      </c>
      <c r="P117">
        <f t="shared" ref="P117" si="228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1</v>
      </c>
      <c r="Q117">
        <f t="shared" ref="Q117" si="229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30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31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1</v>
      </c>
    </row>
    <row r="118" spans="1:19" hidden="1" x14ac:dyDescent="0.25">
      <c r="A118">
        <v>436</v>
      </c>
      <c r="B118">
        <v>33</v>
      </c>
      <c r="C118">
        <v>1</v>
      </c>
      <c r="F118" s="2">
        <v>44855</v>
      </c>
      <c r="G118" s="3">
        <v>0.37260416666666668</v>
      </c>
    </row>
    <row r="119" spans="1:19" x14ac:dyDescent="0.25">
      <c r="A119">
        <v>446</v>
      </c>
      <c r="B119">
        <v>33</v>
      </c>
      <c r="C119">
        <v>1</v>
      </c>
      <c r="D119">
        <v>0</v>
      </c>
      <c r="F119" s="2">
        <v>44855</v>
      </c>
      <c r="G119" s="3">
        <v>0.37267361111111108</v>
      </c>
      <c r="H119" t="s">
        <v>31</v>
      </c>
      <c r="I119" t="s">
        <v>34</v>
      </c>
      <c r="J119" t="s">
        <v>35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32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3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3</v>
      </c>
      <c r="R119">
        <f t="shared" ref="R119" si="234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5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454</v>
      </c>
      <c r="B120">
        <v>33</v>
      </c>
      <c r="C120">
        <v>1</v>
      </c>
      <c r="F120" s="2">
        <v>44855</v>
      </c>
      <c r="G120" s="3">
        <v>0.37278935185185186</v>
      </c>
    </row>
    <row r="121" spans="1:19" x14ac:dyDescent="0.25">
      <c r="A121">
        <v>458</v>
      </c>
      <c r="B121">
        <v>33</v>
      </c>
      <c r="C121">
        <v>1</v>
      </c>
      <c r="D121">
        <v>0</v>
      </c>
      <c r="F121" s="2">
        <v>44855</v>
      </c>
      <c r="G121" s="3">
        <v>0.37281249999999999</v>
      </c>
      <c r="H121" t="s">
        <v>34</v>
      </c>
      <c r="I121" t="s">
        <v>31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6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1</v>
      </c>
      <c r="Q121">
        <f t="shared" ref="Q121" si="237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8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9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468</v>
      </c>
      <c r="B122">
        <v>33</v>
      </c>
      <c r="C122">
        <v>1</v>
      </c>
      <c r="F122" s="2">
        <v>44855</v>
      </c>
      <c r="G122" s="3">
        <v>0.37292824074074077</v>
      </c>
    </row>
    <row r="123" spans="1:19" x14ac:dyDescent="0.25">
      <c r="A123">
        <v>473</v>
      </c>
      <c r="B123">
        <v>33</v>
      </c>
      <c r="C123">
        <v>1</v>
      </c>
      <c r="D123">
        <v>1</v>
      </c>
      <c r="F123" s="2">
        <v>44855</v>
      </c>
      <c r="G123" s="3">
        <v>0.37296296296296294</v>
      </c>
      <c r="H123" t="s">
        <v>31</v>
      </c>
      <c r="I123" t="s">
        <v>29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40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2</v>
      </c>
      <c r="Q123">
        <f t="shared" ref="Q123" si="241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42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3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480</v>
      </c>
      <c r="B124">
        <v>33</v>
      </c>
      <c r="C124">
        <v>1</v>
      </c>
      <c r="F124" s="2">
        <v>44855</v>
      </c>
      <c r="G124" s="3">
        <v>0.37306712962962968</v>
      </c>
    </row>
    <row r="125" spans="1:19" x14ac:dyDescent="0.25">
      <c r="A125">
        <v>486</v>
      </c>
      <c r="B125">
        <v>33</v>
      </c>
      <c r="C125">
        <v>1</v>
      </c>
      <c r="D125">
        <v>1</v>
      </c>
      <c r="F125" s="2">
        <v>44855</v>
      </c>
      <c r="G125" s="3">
        <v>0.37310185185185185</v>
      </c>
      <c r="H125" t="s">
        <v>29</v>
      </c>
      <c r="I125" t="s">
        <v>34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4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5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6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7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493</v>
      </c>
      <c r="B126">
        <v>33</v>
      </c>
      <c r="C126">
        <v>1</v>
      </c>
      <c r="F126" s="2">
        <v>44855</v>
      </c>
      <c r="G126" s="3">
        <v>0.37320601851851848</v>
      </c>
    </row>
    <row r="127" spans="1:19" x14ac:dyDescent="0.25">
      <c r="A127">
        <v>496</v>
      </c>
      <c r="B127">
        <v>33</v>
      </c>
      <c r="C127">
        <v>1</v>
      </c>
      <c r="D127">
        <v>1</v>
      </c>
      <c r="F127" s="2">
        <v>44855</v>
      </c>
      <c r="G127" s="3">
        <v>0.3732523148148148</v>
      </c>
      <c r="H127" t="s">
        <v>35</v>
      </c>
      <c r="I127" t="s">
        <v>29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 t="shared" ref="P127" si="248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9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50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51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506</v>
      </c>
      <c r="B128">
        <v>33</v>
      </c>
      <c r="C128">
        <v>1</v>
      </c>
      <c r="F128" s="2">
        <v>44855</v>
      </c>
      <c r="G128" s="3">
        <v>0.37337962962962962</v>
      </c>
    </row>
    <row r="129" spans="1:19" x14ac:dyDescent="0.25">
      <c r="A129">
        <v>512</v>
      </c>
      <c r="B129">
        <v>33</v>
      </c>
      <c r="C129">
        <v>1</v>
      </c>
      <c r="D129">
        <v>0</v>
      </c>
      <c r="F129" s="2">
        <v>44855</v>
      </c>
      <c r="G129" s="3">
        <v>0.37341435185185184</v>
      </c>
      <c r="H129" t="s">
        <v>34</v>
      </c>
      <c r="I129" t="s">
        <v>31</v>
      </c>
      <c r="J129" t="s">
        <v>29</v>
      </c>
      <c r="K129" t="s">
        <v>35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4</v>
      </c>
      <c r="P129">
        <f t="shared" ref="P129" si="252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3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2</v>
      </c>
      <c r="R129">
        <f t="shared" ref="R129" si="254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3</v>
      </c>
      <c r="S129">
        <f t="shared" ref="S129" si="255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522</v>
      </c>
      <c r="B130">
        <v>33</v>
      </c>
      <c r="C130">
        <v>1</v>
      </c>
      <c r="F130" s="2">
        <v>44855</v>
      </c>
      <c r="G130" s="3">
        <v>0.37354166666666666</v>
      </c>
    </row>
    <row r="131" spans="1:19" x14ac:dyDescent="0.25">
      <c r="A131">
        <v>525</v>
      </c>
      <c r="B131">
        <v>33</v>
      </c>
      <c r="C131">
        <v>1</v>
      </c>
      <c r="D131">
        <v>1</v>
      </c>
      <c r="F131" s="2">
        <v>44855</v>
      </c>
      <c r="G131" s="3">
        <v>0.37357638888888894</v>
      </c>
      <c r="H131" t="s">
        <v>35</v>
      </c>
      <c r="I131" t="s">
        <v>34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6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7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8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9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536</v>
      </c>
      <c r="B132">
        <v>33</v>
      </c>
      <c r="C132">
        <v>1</v>
      </c>
      <c r="F132" s="2">
        <v>44855</v>
      </c>
      <c r="G132" s="3">
        <v>0.37369212962962961</v>
      </c>
    </row>
    <row r="133" spans="1:19" x14ac:dyDescent="0.25">
      <c r="A133">
        <v>541</v>
      </c>
      <c r="B133">
        <v>33</v>
      </c>
      <c r="C133">
        <v>1</v>
      </c>
      <c r="D133">
        <v>1</v>
      </c>
      <c r="F133" s="2">
        <v>44855</v>
      </c>
      <c r="G133" s="3">
        <v>0.37373842592592593</v>
      </c>
      <c r="H133" t="s">
        <v>31</v>
      </c>
      <c r="I133" t="s">
        <v>34</v>
      </c>
      <c r="J133" t="s">
        <v>29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60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61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2</v>
      </c>
      <c r="R133">
        <f t="shared" ref="R133" si="262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3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552</v>
      </c>
      <c r="B134">
        <v>33</v>
      </c>
      <c r="C134">
        <v>1</v>
      </c>
      <c r="F134" s="2">
        <v>44855</v>
      </c>
      <c r="G134" s="3">
        <v>0.37385416666666665</v>
      </c>
    </row>
    <row r="135" spans="1:19" x14ac:dyDescent="0.25">
      <c r="A135">
        <v>557</v>
      </c>
      <c r="B135">
        <v>33</v>
      </c>
      <c r="C135">
        <v>1</v>
      </c>
      <c r="D135">
        <v>0</v>
      </c>
      <c r="F135" s="2">
        <v>44855</v>
      </c>
      <c r="G135" s="3">
        <v>0.37390046296296298</v>
      </c>
      <c r="H135" t="s">
        <v>34</v>
      </c>
      <c r="I135" t="s">
        <v>29</v>
      </c>
      <c r="J135" t="s">
        <v>35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4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2</v>
      </c>
      <c r="Q135">
        <f t="shared" ref="Q135" si="265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3</v>
      </c>
      <c r="R135">
        <f t="shared" ref="R135" si="266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7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hidden="1" x14ac:dyDescent="0.25">
      <c r="A136">
        <v>566</v>
      </c>
      <c r="B136">
        <v>33</v>
      </c>
      <c r="C136">
        <v>1</v>
      </c>
      <c r="F136" s="2">
        <v>44855</v>
      </c>
      <c r="G136" s="3">
        <v>0.37402777777777779</v>
      </c>
    </row>
    <row r="137" spans="1:19" x14ac:dyDescent="0.25">
      <c r="A137">
        <v>571</v>
      </c>
      <c r="B137">
        <v>33</v>
      </c>
      <c r="C137">
        <v>1</v>
      </c>
      <c r="D137">
        <v>0</v>
      </c>
      <c r="F137" s="2">
        <v>44855</v>
      </c>
      <c r="G137" s="3">
        <v>0.37406249999999996</v>
      </c>
      <c r="H137" t="s">
        <v>29</v>
      </c>
      <c r="I137" t="s">
        <v>31</v>
      </c>
      <c r="J137" t="s">
        <v>35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2</v>
      </c>
      <c r="P137">
        <f t="shared" ref="P137" si="268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9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3</v>
      </c>
      <c r="R137">
        <f t="shared" ref="R137" si="270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71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582</v>
      </c>
      <c r="B138">
        <v>33</v>
      </c>
      <c r="C138">
        <v>2</v>
      </c>
      <c r="F138" s="2">
        <v>44855</v>
      </c>
      <c r="G138" s="3">
        <v>0.3741666666666667</v>
      </c>
    </row>
    <row r="139" spans="1:19" x14ac:dyDescent="0.25">
      <c r="A139">
        <v>585</v>
      </c>
      <c r="B139">
        <v>33</v>
      </c>
      <c r="C139">
        <v>2</v>
      </c>
      <c r="D139">
        <v>1</v>
      </c>
      <c r="F139" s="2">
        <v>44855</v>
      </c>
      <c r="G139" s="3">
        <v>0.37421296296296297</v>
      </c>
      <c r="H139" t="s">
        <v>38</v>
      </c>
      <c r="I139" t="s">
        <v>39</v>
      </c>
      <c r="J139" t="s">
        <v>40</v>
      </c>
      <c r="K139" t="s">
        <v>37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72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3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4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5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273</v>
      </c>
      <c r="B140">
        <v>34</v>
      </c>
      <c r="C140">
        <v>0</v>
      </c>
      <c r="F140" s="2">
        <v>44855</v>
      </c>
      <c r="G140" s="3">
        <v>0.37079861111111106</v>
      </c>
    </row>
    <row r="141" spans="1:19" x14ac:dyDescent="0.25">
      <c r="A141">
        <v>276</v>
      </c>
      <c r="B141">
        <v>34</v>
      </c>
      <c r="C141">
        <v>0</v>
      </c>
      <c r="D141">
        <v>0</v>
      </c>
      <c r="F141" s="2">
        <v>44855</v>
      </c>
      <c r="G141" s="3">
        <v>0.37083333333333335</v>
      </c>
      <c r="H141" t="s">
        <v>31</v>
      </c>
      <c r="I141" t="s">
        <v>35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 t="shared" ref="P141" si="276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3</v>
      </c>
      <c r="Q141">
        <f t="shared" ref="Q141" si="277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8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9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hidden="1" x14ac:dyDescent="0.25">
      <c r="A142">
        <v>285</v>
      </c>
      <c r="B142">
        <v>34</v>
      </c>
      <c r="C142">
        <v>0</v>
      </c>
      <c r="F142" s="2">
        <v>44855</v>
      </c>
      <c r="G142" s="3">
        <v>0.37094907407407413</v>
      </c>
    </row>
    <row r="143" spans="1:19" x14ac:dyDescent="0.25">
      <c r="A143">
        <v>286</v>
      </c>
      <c r="B143">
        <v>34</v>
      </c>
      <c r="C143">
        <v>0</v>
      </c>
      <c r="D143">
        <v>0</v>
      </c>
      <c r="F143" s="2">
        <v>44855</v>
      </c>
      <c r="G143" s="3">
        <v>0.3709837962962963</v>
      </c>
      <c r="H143" t="s">
        <v>29</v>
      </c>
      <c r="I143" t="s">
        <v>35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80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3</v>
      </c>
      <c r="Q143">
        <f t="shared" ref="Q143" si="281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82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3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297</v>
      </c>
      <c r="B144">
        <v>34</v>
      </c>
      <c r="C144">
        <v>0</v>
      </c>
      <c r="F144" s="2">
        <v>44855</v>
      </c>
      <c r="G144" s="3">
        <v>0.37108796296296293</v>
      </c>
    </row>
    <row r="145" spans="1:19" x14ac:dyDescent="0.25">
      <c r="A145">
        <v>300</v>
      </c>
      <c r="B145">
        <v>34</v>
      </c>
      <c r="C145">
        <v>0</v>
      </c>
      <c r="D145">
        <v>1</v>
      </c>
      <c r="F145" s="2">
        <v>44855</v>
      </c>
      <c r="G145" s="3">
        <v>0.37113425925925925</v>
      </c>
      <c r="H145" t="s">
        <v>34</v>
      </c>
      <c r="I145" t="s">
        <v>35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4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5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6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7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310</v>
      </c>
      <c r="B146">
        <v>34</v>
      </c>
      <c r="C146">
        <v>0</v>
      </c>
      <c r="F146" s="2">
        <v>44855</v>
      </c>
      <c r="G146" s="3">
        <v>0.37123842592592587</v>
      </c>
    </row>
    <row r="147" spans="1:19" x14ac:dyDescent="0.25">
      <c r="A147">
        <v>314</v>
      </c>
      <c r="B147">
        <v>34</v>
      </c>
      <c r="C147">
        <v>0</v>
      </c>
      <c r="D147">
        <v>1</v>
      </c>
      <c r="F147" s="2">
        <v>44855</v>
      </c>
      <c r="G147" s="3">
        <v>0.3712847222222222</v>
      </c>
      <c r="H147" t="s">
        <v>34</v>
      </c>
      <c r="I147" t="s">
        <v>29</v>
      </c>
      <c r="J147" t="s">
        <v>35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4</v>
      </c>
      <c r="P147">
        <f t="shared" ref="P147" si="288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2</v>
      </c>
      <c r="Q147">
        <f t="shared" ref="Q147" si="289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3</v>
      </c>
      <c r="R147">
        <f t="shared" ref="R147" si="290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91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327</v>
      </c>
      <c r="B148">
        <v>34</v>
      </c>
      <c r="C148">
        <v>0</v>
      </c>
      <c r="F148" s="2">
        <v>44855</v>
      </c>
      <c r="G148" s="3">
        <v>0.37142361111111111</v>
      </c>
    </row>
    <row r="149" spans="1:19" x14ac:dyDescent="0.25">
      <c r="A149">
        <v>330</v>
      </c>
      <c r="B149">
        <v>34</v>
      </c>
      <c r="C149">
        <v>0</v>
      </c>
      <c r="D149">
        <v>0</v>
      </c>
      <c r="F149" s="2">
        <v>44855</v>
      </c>
      <c r="G149" s="3">
        <v>0.37145833333333328</v>
      </c>
      <c r="H149" t="s">
        <v>29</v>
      </c>
      <c r="I149" t="s">
        <v>31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 t="shared" ref="P149" si="292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1</v>
      </c>
      <c r="Q149">
        <f t="shared" ref="Q149" si="293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4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5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342</v>
      </c>
      <c r="B150">
        <v>34</v>
      </c>
      <c r="C150">
        <v>0</v>
      </c>
      <c r="F150" s="2">
        <v>44855</v>
      </c>
      <c r="G150" s="3">
        <v>0.37158564814814815</v>
      </c>
    </row>
    <row r="151" spans="1:19" x14ac:dyDescent="0.25">
      <c r="A151">
        <v>346</v>
      </c>
      <c r="B151">
        <v>34</v>
      </c>
      <c r="C151">
        <v>0</v>
      </c>
      <c r="D151">
        <v>2</v>
      </c>
      <c r="F151" s="2">
        <v>44855</v>
      </c>
      <c r="G151" s="3">
        <v>0.37164351851851851</v>
      </c>
      <c r="H151" t="s">
        <v>34</v>
      </c>
      <c r="I151" t="s">
        <v>35</v>
      </c>
      <c r="J151" t="s">
        <v>31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4</v>
      </c>
      <c r="P151">
        <f t="shared" ref="P151" si="296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7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1</v>
      </c>
      <c r="R151">
        <f t="shared" ref="R151" si="298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9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358</v>
      </c>
      <c r="B152">
        <v>34</v>
      </c>
      <c r="C152">
        <v>0</v>
      </c>
      <c r="F152" s="2">
        <v>44855</v>
      </c>
      <c r="G152" s="3">
        <v>0.37175925925925929</v>
      </c>
    </row>
    <row r="153" spans="1:19" x14ac:dyDescent="0.25">
      <c r="A153">
        <v>360</v>
      </c>
      <c r="B153">
        <v>34</v>
      </c>
      <c r="C153">
        <v>0</v>
      </c>
      <c r="D153">
        <v>0</v>
      </c>
      <c r="F153" s="2">
        <v>44855</v>
      </c>
      <c r="G153" s="3">
        <v>0.37178240740740742</v>
      </c>
      <c r="H153" t="s">
        <v>29</v>
      </c>
      <c r="I153" t="s">
        <v>31</v>
      </c>
      <c r="J153" t="s">
        <v>34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300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301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4</v>
      </c>
      <c r="R153">
        <f t="shared" ref="R153" si="302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3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370</v>
      </c>
      <c r="B154">
        <v>34</v>
      </c>
      <c r="C154">
        <v>0</v>
      </c>
      <c r="F154" s="2">
        <v>44855</v>
      </c>
      <c r="G154" s="3">
        <v>0.3718981481481482</v>
      </c>
    </row>
    <row r="155" spans="1:19" x14ac:dyDescent="0.25">
      <c r="A155">
        <v>372</v>
      </c>
      <c r="B155">
        <v>34</v>
      </c>
      <c r="C155">
        <v>0</v>
      </c>
      <c r="D155">
        <v>1</v>
      </c>
      <c r="F155" s="2">
        <v>44855</v>
      </c>
      <c r="G155" s="3">
        <v>0.37192129629629633</v>
      </c>
      <c r="H155" t="s">
        <v>31</v>
      </c>
      <c r="I155" t="s">
        <v>29</v>
      </c>
      <c r="J155" t="s">
        <v>34</v>
      </c>
      <c r="K155" t="s">
        <v>35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 t="shared" ref="P155" si="304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2</v>
      </c>
      <c r="Q155">
        <f t="shared" ref="Q155" si="305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4</v>
      </c>
      <c r="R155">
        <f t="shared" ref="R155" si="306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3</v>
      </c>
      <c r="S155">
        <f t="shared" ref="S155" si="307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381</v>
      </c>
      <c r="B156">
        <v>34</v>
      </c>
      <c r="C156">
        <v>0</v>
      </c>
      <c r="F156" s="2">
        <v>44855</v>
      </c>
      <c r="G156" s="3">
        <v>0.37202546296296296</v>
      </c>
    </row>
    <row r="157" spans="1:19" x14ac:dyDescent="0.25">
      <c r="A157">
        <v>385</v>
      </c>
      <c r="B157">
        <v>34</v>
      </c>
      <c r="C157">
        <v>0</v>
      </c>
      <c r="D157">
        <v>1</v>
      </c>
      <c r="F157" s="2">
        <v>44855</v>
      </c>
      <c r="G157" s="3">
        <v>0.37206018518518519</v>
      </c>
      <c r="H157" t="s">
        <v>31</v>
      </c>
      <c r="I157" t="s">
        <v>29</v>
      </c>
      <c r="J157" t="s">
        <v>35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8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9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3</v>
      </c>
      <c r="R157">
        <f t="shared" ref="R157" si="310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11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394</v>
      </c>
      <c r="B158">
        <v>34</v>
      </c>
      <c r="C158">
        <v>0</v>
      </c>
      <c r="F158" s="2">
        <v>44855</v>
      </c>
      <c r="G158" s="3">
        <v>0.37216435185185182</v>
      </c>
    </row>
    <row r="159" spans="1:19" x14ac:dyDescent="0.25">
      <c r="A159">
        <v>399</v>
      </c>
      <c r="B159">
        <v>34</v>
      </c>
      <c r="C159">
        <v>0</v>
      </c>
      <c r="D159">
        <v>1</v>
      </c>
      <c r="F159" s="2">
        <v>44855</v>
      </c>
      <c r="G159" s="3">
        <v>0.37218749999999995</v>
      </c>
      <c r="H159" t="s">
        <v>34</v>
      </c>
      <c r="I159" t="s">
        <v>29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12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3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4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5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409</v>
      </c>
      <c r="B160">
        <v>34</v>
      </c>
      <c r="C160">
        <v>0</v>
      </c>
      <c r="F160" s="2">
        <v>44855</v>
      </c>
      <c r="G160" s="3">
        <v>0.37231481481481482</v>
      </c>
    </row>
    <row r="161" spans="1:19" x14ac:dyDescent="0.25">
      <c r="A161">
        <v>414</v>
      </c>
      <c r="B161">
        <v>34</v>
      </c>
      <c r="C161">
        <v>0</v>
      </c>
      <c r="D161">
        <v>0</v>
      </c>
      <c r="F161" s="2">
        <v>44855</v>
      </c>
      <c r="G161" s="3">
        <v>0.37234953703703705</v>
      </c>
      <c r="H161" t="s">
        <v>31</v>
      </c>
      <c r="I161" t="s">
        <v>34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1</v>
      </c>
      <c r="P161">
        <f t="shared" ref="P161" si="316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7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8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9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425</v>
      </c>
      <c r="B162">
        <v>34</v>
      </c>
      <c r="C162">
        <v>1</v>
      </c>
      <c r="F162" s="2">
        <v>44855</v>
      </c>
      <c r="G162" s="3">
        <v>0.37246527777777777</v>
      </c>
    </row>
    <row r="163" spans="1:19" x14ac:dyDescent="0.25">
      <c r="A163">
        <v>429</v>
      </c>
      <c r="B163">
        <v>34</v>
      </c>
      <c r="C163">
        <v>1</v>
      </c>
      <c r="D163">
        <v>1</v>
      </c>
      <c r="F163" s="2">
        <v>44855</v>
      </c>
      <c r="G163" s="3">
        <v>0.37251157407407409</v>
      </c>
      <c r="H163" t="s">
        <v>36</v>
      </c>
      <c r="I163" t="s">
        <v>32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20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21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22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3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437</v>
      </c>
      <c r="B164">
        <v>34</v>
      </c>
      <c r="C164">
        <v>1</v>
      </c>
      <c r="F164" s="2">
        <v>44855</v>
      </c>
      <c r="G164" s="3">
        <v>0.37261574074074072</v>
      </c>
    </row>
    <row r="165" spans="1:19" x14ac:dyDescent="0.25">
      <c r="A165">
        <v>444</v>
      </c>
      <c r="B165">
        <v>34</v>
      </c>
      <c r="C165">
        <v>1</v>
      </c>
      <c r="D165">
        <v>0</v>
      </c>
      <c r="F165" s="2">
        <v>44855</v>
      </c>
      <c r="G165" s="3">
        <v>0.37266203703703704</v>
      </c>
      <c r="H165" t="s">
        <v>32</v>
      </c>
      <c r="I165" t="s">
        <v>33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4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5</v>
      </c>
      <c r="Q165">
        <f t="shared" ref="Q165" si="325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6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7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451</v>
      </c>
      <c r="B166">
        <v>34</v>
      </c>
      <c r="C166">
        <v>1</v>
      </c>
      <c r="F166" s="2">
        <v>44855</v>
      </c>
      <c r="G166" s="3">
        <v>0.37277777777777782</v>
      </c>
    </row>
    <row r="167" spans="1:19" x14ac:dyDescent="0.25">
      <c r="A167">
        <v>457</v>
      </c>
      <c r="B167">
        <v>34</v>
      </c>
      <c r="C167">
        <v>1</v>
      </c>
      <c r="D167">
        <v>0</v>
      </c>
      <c r="F167" s="2">
        <v>44855</v>
      </c>
      <c r="G167" s="3">
        <v>0.37280092592592595</v>
      </c>
      <c r="H167" t="s">
        <v>32</v>
      </c>
      <c r="I167" t="s">
        <v>36</v>
      </c>
      <c r="J167" t="s">
        <v>30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6</v>
      </c>
      <c r="P167">
        <f t="shared" ref="P167" si="328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9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7</v>
      </c>
      <c r="R167">
        <f t="shared" ref="R167" si="330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31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466</v>
      </c>
      <c r="B168">
        <v>34</v>
      </c>
      <c r="C168">
        <v>1</v>
      </c>
      <c r="F168" s="2">
        <v>44855</v>
      </c>
      <c r="G168" s="3">
        <v>0.37292824074074077</v>
      </c>
    </row>
    <row r="169" spans="1:19" x14ac:dyDescent="0.25">
      <c r="A169">
        <v>470</v>
      </c>
      <c r="B169">
        <v>34</v>
      </c>
      <c r="C169">
        <v>1</v>
      </c>
      <c r="D169">
        <v>1</v>
      </c>
      <c r="F169" s="2">
        <v>44855</v>
      </c>
      <c r="G169" s="3">
        <v>0.3729513888888889</v>
      </c>
      <c r="H169" t="s">
        <v>36</v>
      </c>
      <c r="I169" t="s">
        <v>32</v>
      </c>
      <c r="J169" t="s">
        <v>33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32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3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5</v>
      </c>
      <c r="R169">
        <f t="shared" ref="R169" si="334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5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477</v>
      </c>
      <c r="B170">
        <v>34</v>
      </c>
      <c r="C170">
        <v>1</v>
      </c>
      <c r="F170" s="2">
        <v>44855</v>
      </c>
      <c r="G170" s="3">
        <v>0.37305555555555553</v>
      </c>
    </row>
    <row r="171" spans="1:19" x14ac:dyDescent="0.25">
      <c r="A171">
        <v>482</v>
      </c>
      <c r="B171">
        <v>34</v>
      </c>
      <c r="C171">
        <v>1</v>
      </c>
      <c r="D171">
        <v>1</v>
      </c>
      <c r="F171" s="2">
        <v>44855</v>
      </c>
      <c r="G171" s="3">
        <v>0.37307870370370372</v>
      </c>
      <c r="H171" t="s">
        <v>30</v>
      </c>
      <c r="I171" t="s">
        <v>32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7</v>
      </c>
      <c r="P171">
        <f t="shared" ref="P171" si="336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7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8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9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491</v>
      </c>
      <c r="B172">
        <v>34</v>
      </c>
      <c r="C172">
        <v>1</v>
      </c>
      <c r="F172" s="2">
        <v>44855</v>
      </c>
      <c r="G172" s="3">
        <v>0.37319444444444444</v>
      </c>
    </row>
    <row r="173" spans="1:19" x14ac:dyDescent="0.25">
      <c r="A173">
        <v>498</v>
      </c>
      <c r="B173">
        <v>34</v>
      </c>
      <c r="C173">
        <v>1</v>
      </c>
      <c r="D173">
        <v>0</v>
      </c>
      <c r="F173" s="2">
        <v>44855</v>
      </c>
      <c r="G173" s="3">
        <v>0.3732523148148148</v>
      </c>
      <c r="H173" t="s">
        <v>36</v>
      </c>
      <c r="I173" t="s">
        <v>33</v>
      </c>
      <c r="J173" t="s">
        <v>30</v>
      </c>
      <c r="L173" t="str">
        <f>IF(D173=0,H173,IF(D173=1,I173,IF(D173=2,J173,IF(D173=3,K173))))</f>
        <v>green_pen.jpg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8</v>
      </c>
      <c r="P173">
        <f t="shared" ref="P173" si="340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41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7</v>
      </c>
      <c r="R173">
        <f t="shared" ref="R173" si="342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3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8</v>
      </c>
    </row>
    <row r="174" spans="1:19" hidden="1" x14ac:dyDescent="0.25">
      <c r="A174">
        <v>507</v>
      </c>
      <c r="B174">
        <v>34</v>
      </c>
      <c r="C174">
        <v>1</v>
      </c>
      <c r="F174" s="2">
        <v>44855</v>
      </c>
      <c r="G174" s="3">
        <v>0.37337962962962962</v>
      </c>
    </row>
    <row r="175" spans="1:19" x14ac:dyDescent="0.25">
      <c r="A175">
        <v>513</v>
      </c>
      <c r="B175">
        <v>34</v>
      </c>
      <c r="C175">
        <v>1</v>
      </c>
      <c r="D175">
        <v>0</v>
      </c>
      <c r="F175" s="2">
        <v>44855</v>
      </c>
      <c r="G175" s="3">
        <v>0.37342592592592588</v>
      </c>
      <c r="H175" t="s">
        <v>30</v>
      </c>
      <c r="I175" t="s">
        <v>36</v>
      </c>
      <c r="L175" t="str">
        <f>IF(D175=0,H175,IF(D175=1,I175,IF(D175=2,J175,IF(D175=3,K175))))</f>
        <v>blue_pen.jpg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4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8</v>
      </c>
      <c r="Q175">
        <f t="shared" ref="Q175" si="345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6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7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7</v>
      </c>
    </row>
    <row r="176" spans="1:19" hidden="1" x14ac:dyDescent="0.25">
      <c r="A176">
        <v>523</v>
      </c>
      <c r="B176">
        <v>34</v>
      </c>
      <c r="C176">
        <v>1</v>
      </c>
      <c r="F176" s="2">
        <v>44855</v>
      </c>
      <c r="G176" s="3">
        <v>0.37355324074074076</v>
      </c>
    </row>
    <row r="177" spans="1:19" x14ac:dyDescent="0.25">
      <c r="A177">
        <v>526</v>
      </c>
      <c r="B177">
        <v>34</v>
      </c>
      <c r="C177">
        <v>1</v>
      </c>
      <c r="D177">
        <v>2</v>
      </c>
      <c r="F177" s="2">
        <v>44855</v>
      </c>
      <c r="G177" s="3">
        <v>0.37357638888888894</v>
      </c>
      <c r="H177" t="s">
        <v>36</v>
      </c>
      <c r="I177" t="s">
        <v>30</v>
      </c>
      <c r="J177" t="s">
        <v>32</v>
      </c>
      <c r="K177" t="s">
        <v>33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8</v>
      </c>
      <c r="P177">
        <f t="shared" ref="P177" si="348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9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6</v>
      </c>
      <c r="R177">
        <f t="shared" ref="R177" si="350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5</v>
      </c>
      <c r="S177">
        <f t="shared" ref="S177" si="351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537</v>
      </c>
      <c r="B178">
        <v>34</v>
      </c>
      <c r="C178">
        <v>1</v>
      </c>
      <c r="F178" s="2">
        <v>44855</v>
      </c>
      <c r="G178" s="3">
        <v>0.3737037037037037</v>
      </c>
    </row>
    <row r="179" spans="1:19" x14ac:dyDescent="0.25">
      <c r="A179">
        <v>542</v>
      </c>
      <c r="B179">
        <v>34</v>
      </c>
      <c r="C179">
        <v>1</v>
      </c>
      <c r="D179">
        <v>1</v>
      </c>
      <c r="F179" s="2">
        <v>44855</v>
      </c>
      <c r="G179" s="3">
        <v>0.37373842592592593</v>
      </c>
      <c r="H179" t="s">
        <v>30</v>
      </c>
      <c r="I179" t="s">
        <v>33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52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3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4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5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553</v>
      </c>
      <c r="B180">
        <v>34</v>
      </c>
      <c r="C180">
        <v>1</v>
      </c>
      <c r="F180" s="2">
        <v>44855</v>
      </c>
      <c r="G180" s="3">
        <v>0.37385416666666665</v>
      </c>
    </row>
    <row r="181" spans="1:19" x14ac:dyDescent="0.25">
      <c r="A181">
        <v>558</v>
      </c>
      <c r="B181">
        <v>34</v>
      </c>
      <c r="C181">
        <v>1</v>
      </c>
      <c r="D181">
        <v>1</v>
      </c>
      <c r="F181" s="2">
        <v>44855</v>
      </c>
      <c r="G181" s="3">
        <v>0.37390046296296298</v>
      </c>
      <c r="H181" t="s">
        <v>33</v>
      </c>
      <c r="I181" t="s">
        <v>36</v>
      </c>
      <c r="L181" t="str">
        <f>IF(D181=0,H181,IF(D181=1,I181,IF(D181=2,J181,IF(D181=3,K181))))</f>
        <v>green_pen.jpg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6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8</v>
      </c>
      <c r="Q181">
        <f t="shared" ref="Q181" si="357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8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9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8</v>
      </c>
    </row>
    <row r="182" spans="1:19" hidden="1" x14ac:dyDescent="0.25">
      <c r="A182">
        <v>567</v>
      </c>
      <c r="B182">
        <v>34</v>
      </c>
      <c r="C182">
        <v>1</v>
      </c>
      <c r="F182" s="2">
        <v>44855</v>
      </c>
      <c r="G182" s="3">
        <v>0.37402777777777779</v>
      </c>
    </row>
    <row r="183" spans="1:19" x14ac:dyDescent="0.25">
      <c r="A183">
        <v>570</v>
      </c>
      <c r="B183">
        <v>34</v>
      </c>
      <c r="C183">
        <v>1</v>
      </c>
      <c r="D183">
        <v>1</v>
      </c>
      <c r="F183" s="2">
        <v>44855</v>
      </c>
      <c r="G183" s="3">
        <v>0.37405092592592593</v>
      </c>
      <c r="H183" t="s">
        <v>33</v>
      </c>
      <c r="I183" t="s">
        <v>32</v>
      </c>
      <c r="J183" t="s">
        <v>30</v>
      </c>
      <c r="L183" t="str">
        <f>IF(D183=0,H183,IF(D183=1,I183,IF(D183=2,J183,IF(D183=3,K183))))</f>
        <v>red_pen.jpg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5</v>
      </c>
      <c r="P183">
        <f t="shared" ref="P183" si="360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6</v>
      </c>
      <c r="Q183">
        <f t="shared" ref="Q183" si="361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7</v>
      </c>
      <c r="R183">
        <f t="shared" ref="R183" si="362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3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6</v>
      </c>
    </row>
    <row r="184" spans="1:19" hidden="1" x14ac:dyDescent="0.25">
      <c r="A184">
        <v>579</v>
      </c>
      <c r="B184">
        <v>34</v>
      </c>
      <c r="C184">
        <v>2</v>
      </c>
      <c r="F184" s="2">
        <v>44855</v>
      </c>
      <c r="G184" s="3">
        <v>0.37415509259259255</v>
      </c>
    </row>
    <row r="185" spans="1:19" x14ac:dyDescent="0.25">
      <c r="A185">
        <v>583</v>
      </c>
      <c r="B185">
        <v>34</v>
      </c>
      <c r="C185">
        <v>2</v>
      </c>
      <c r="D185">
        <v>1</v>
      </c>
      <c r="F185" s="2">
        <v>44855</v>
      </c>
      <c r="G185" s="3">
        <v>0.37418981481481484</v>
      </c>
      <c r="H185" t="s">
        <v>38</v>
      </c>
      <c r="I185" t="s">
        <v>39</v>
      </c>
      <c r="J185" t="s">
        <v>40</v>
      </c>
      <c r="K185" t="s">
        <v>37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4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5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6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7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277</v>
      </c>
      <c r="B186">
        <v>35</v>
      </c>
      <c r="C186">
        <v>0</v>
      </c>
      <c r="F186" s="2">
        <v>44855</v>
      </c>
      <c r="G186" s="3">
        <v>0.37083333333333335</v>
      </c>
    </row>
    <row r="187" spans="1:19" x14ac:dyDescent="0.25">
      <c r="A187">
        <v>280</v>
      </c>
      <c r="B187">
        <v>35</v>
      </c>
      <c r="C187">
        <v>0</v>
      </c>
      <c r="D187">
        <v>1</v>
      </c>
      <c r="F187" s="2">
        <v>44855</v>
      </c>
      <c r="G187" s="3">
        <v>0.37089120370370371</v>
      </c>
      <c r="H187" t="s">
        <v>36</v>
      </c>
      <c r="I187" t="s">
        <v>30</v>
      </c>
      <c r="J187" t="s">
        <v>32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8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9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6</v>
      </c>
      <c r="R187">
        <f t="shared" ref="R187" si="370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71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288</v>
      </c>
      <c r="B188">
        <v>35</v>
      </c>
      <c r="C188">
        <v>0</v>
      </c>
      <c r="F188" s="2">
        <v>44855</v>
      </c>
      <c r="G188" s="3">
        <v>0.37101851851851847</v>
      </c>
    </row>
    <row r="189" spans="1:19" x14ac:dyDescent="0.25">
      <c r="A189">
        <v>295</v>
      </c>
      <c r="B189">
        <v>35</v>
      </c>
      <c r="C189">
        <v>0</v>
      </c>
      <c r="D189">
        <v>1</v>
      </c>
      <c r="F189" s="2">
        <v>44855</v>
      </c>
      <c r="G189" s="3">
        <v>0.37106481481481479</v>
      </c>
      <c r="H189" t="s">
        <v>36</v>
      </c>
      <c r="I189" t="s">
        <v>30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8</v>
      </c>
      <c r="P189">
        <f t="shared" ref="P189" si="372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3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4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5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302</v>
      </c>
      <c r="B190">
        <v>35</v>
      </c>
      <c r="C190">
        <v>0</v>
      </c>
      <c r="F190" s="2">
        <v>44855</v>
      </c>
      <c r="G190" s="3">
        <v>0.37118055555555557</v>
      </c>
    </row>
    <row r="191" spans="1:19" x14ac:dyDescent="0.25">
      <c r="A191">
        <v>309</v>
      </c>
      <c r="B191">
        <v>35</v>
      </c>
      <c r="C191">
        <v>0</v>
      </c>
      <c r="D191">
        <v>1</v>
      </c>
      <c r="F191" s="2">
        <v>44855</v>
      </c>
      <c r="G191" s="3">
        <v>0.37123842592592587</v>
      </c>
      <c r="H191" t="s">
        <v>32</v>
      </c>
      <c r="I191" t="s">
        <v>33</v>
      </c>
      <c r="L191" t="str">
        <f>IF(D191=0,H191,IF(D191=1,I191,IF(D191=2,J191,IF(D191=3,K191))))</f>
        <v>yellow_pen.jpg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6</v>
      </c>
      <c r="P191">
        <f t="shared" ref="P191" si="376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5</v>
      </c>
      <c r="Q191">
        <f t="shared" ref="Q191" si="377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8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9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5</v>
      </c>
    </row>
    <row r="192" spans="1:19" hidden="1" x14ac:dyDescent="0.25">
      <c r="A192">
        <v>317</v>
      </c>
      <c r="B192">
        <v>35</v>
      </c>
      <c r="C192">
        <v>0</v>
      </c>
      <c r="F192" s="2">
        <v>44855</v>
      </c>
      <c r="G192" s="3">
        <v>0.37134259259259261</v>
      </c>
    </row>
    <row r="193" spans="1:19" x14ac:dyDescent="0.25">
      <c r="A193">
        <v>323</v>
      </c>
      <c r="B193">
        <v>35</v>
      </c>
      <c r="C193">
        <v>0</v>
      </c>
      <c r="D193">
        <v>2</v>
      </c>
      <c r="F193" s="2">
        <v>44855</v>
      </c>
      <c r="G193" s="3">
        <v>0.37137731481481479</v>
      </c>
      <c r="H193" t="s">
        <v>33</v>
      </c>
      <c r="I193" t="s">
        <v>30</v>
      </c>
      <c r="J193" t="s">
        <v>32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80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81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6</v>
      </c>
      <c r="R193">
        <f t="shared" ref="R193" si="382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3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334</v>
      </c>
      <c r="B194">
        <v>35</v>
      </c>
      <c r="C194">
        <v>0</v>
      </c>
      <c r="F194" s="2">
        <v>44855</v>
      </c>
      <c r="G194" s="3">
        <v>0.3715046296296296</v>
      </c>
    </row>
    <row r="195" spans="1:19" x14ac:dyDescent="0.25">
      <c r="A195">
        <v>338</v>
      </c>
      <c r="B195">
        <v>35</v>
      </c>
      <c r="C195">
        <v>0</v>
      </c>
      <c r="D195">
        <v>2</v>
      </c>
      <c r="F195" s="2">
        <v>44855</v>
      </c>
      <c r="G195" s="3">
        <v>0.37156250000000002</v>
      </c>
      <c r="H195" t="s">
        <v>36</v>
      </c>
      <c r="I195" t="s">
        <v>32</v>
      </c>
      <c r="J195" t="s">
        <v>33</v>
      </c>
      <c r="L195" t="str">
        <f>IF(D195=0,H195,IF(D195=1,I195,IF(D195=2,J195,IF(D195=3,K195))))</f>
        <v>yellow_pen.jpg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8</v>
      </c>
      <c r="P195">
        <f t="shared" ref="P195" si="384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6</v>
      </c>
      <c r="Q195">
        <f t="shared" ref="Q195" si="385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5</v>
      </c>
      <c r="R195">
        <f t="shared" ref="R195" si="386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7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5</v>
      </c>
    </row>
    <row r="196" spans="1:19" hidden="1" x14ac:dyDescent="0.25">
      <c r="A196">
        <v>350</v>
      </c>
      <c r="B196">
        <v>35</v>
      </c>
      <c r="C196">
        <v>0</v>
      </c>
      <c r="F196" s="2">
        <v>44855</v>
      </c>
      <c r="G196" s="3">
        <v>0.3716782407407408</v>
      </c>
    </row>
    <row r="197" spans="1:19" x14ac:dyDescent="0.25">
      <c r="A197">
        <v>356</v>
      </c>
      <c r="B197">
        <v>35</v>
      </c>
      <c r="C197">
        <v>0</v>
      </c>
      <c r="D197">
        <v>0</v>
      </c>
      <c r="F197" s="2">
        <v>44855</v>
      </c>
      <c r="G197" s="3">
        <v>0.37175925925925929</v>
      </c>
      <c r="H197" t="s">
        <v>33</v>
      </c>
      <c r="I197" t="s">
        <v>36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8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8</v>
      </c>
      <c r="Q197">
        <f t="shared" ref="Q197" si="389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90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91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368</v>
      </c>
      <c r="B198">
        <v>35</v>
      </c>
      <c r="C198">
        <v>0</v>
      </c>
      <c r="F198" s="2">
        <v>44855</v>
      </c>
      <c r="G198" s="3">
        <v>0.37187500000000001</v>
      </c>
    </row>
    <row r="199" spans="1:19" x14ac:dyDescent="0.25">
      <c r="A199">
        <v>375</v>
      </c>
      <c r="B199">
        <v>35</v>
      </c>
      <c r="C199">
        <v>0</v>
      </c>
      <c r="D199">
        <v>1</v>
      </c>
      <c r="F199" s="2">
        <v>44855</v>
      </c>
      <c r="G199" s="3">
        <v>0.37194444444444441</v>
      </c>
      <c r="H199" t="s">
        <v>30</v>
      </c>
      <c r="I199" t="s">
        <v>33</v>
      </c>
      <c r="L199" t="str">
        <f>IF(D199=0,H199,IF(D199=1,I199,IF(D199=2,J199,IF(D199=3,K199))))</f>
        <v>yellow_pen.jpg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 t="shared" ref="P199" si="392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5</v>
      </c>
      <c r="Q199">
        <f t="shared" ref="Q199" si="393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4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5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5</v>
      </c>
    </row>
    <row r="200" spans="1:19" hidden="1" x14ac:dyDescent="0.25">
      <c r="A200">
        <v>386</v>
      </c>
      <c r="B200">
        <v>35</v>
      </c>
      <c r="C200">
        <v>0</v>
      </c>
      <c r="F200" s="2">
        <v>44855</v>
      </c>
      <c r="G200" s="3">
        <v>0.37206018518518519</v>
      </c>
    </row>
    <row r="201" spans="1:19" x14ac:dyDescent="0.25">
      <c r="A201">
        <v>397</v>
      </c>
      <c r="B201">
        <v>35</v>
      </c>
      <c r="C201">
        <v>0</v>
      </c>
      <c r="D201">
        <v>1</v>
      </c>
      <c r="F201" s="2">
        <v>44855</v>
      </c>
      <c r="G201" s="3">
        <v>0.37217592592592591</v>
      </c>
      <c r="H201" t="s">
        <v>30</v>
      </c>
      <c r="I201" t="s">
        <v>32</v>
      </c>
      <c r="L201" t="str">
        <f>IF(D201=0,H201,IF(D201=1,I201,IF(D201=2,J201,IF(D201=3,K201))))</f>
        <v>red_pen.jpg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6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6</v>
      </c>
      <c r="Q201">
        <f t="shared" ref="Q201" si="397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8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9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6</v>
      </c>
    </row>
    <row r="202" spans="1:19" hidden="1" x14ac:dyDescent="0.25">
      <c r="A202">
        <v>406</v>
      </c>
      <c r="B202">
        <v>35</v>
      </c>
      <c r="C202">
        <v>0</v>
      </c>
      <c r="F202" s="2">
        <v>44855</v>
      </c>
      <c r="G202" s="3">
        <v>0.37229166666666669</v>
      </c>
    </row>
    <row r="203" spans="1:19" x14ac:dyDescent="0.25">
      <c r="A203">
        <v>419</v>
      </c>
      <c r="B203">
        <v>35</v>
      </c>
      <c r="C203">
        <v>0</v>
      </c>
      <c r="D203">
        <v>0</v>
      </c>
      <c r="F203" s="2">
        <v>44855</v>
      </c>
      <c r="G203" s="3">
        <v>0.37243055555555554</v>
      </c>
      <c r="H203" t="s">
        <v>30</v>
      </c>
      <c r="I203" t="s">
        <v>36</v>
      </c>
      <c r="J203" t="s">
        <v>33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400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8</v>
      </c>
      <c r="Q203">
        <f t="shared" ref="Q203" si="401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5</v>
      </c>
      <c r="R203">
        <f t="shared" ref="R203" si="402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3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431</v>
      </c>
      <c r="B204">
        <v>35</v>
      </c>
      <c r="C204">
        <v>0</v>
      </c>
      <c r="F204" s="2">
        <v>44855</v>
      </c>
      <c r="G204" s="3">
        <v>0.37253472222222223</v>
      </c>
    </row>
    <row r="205" spans="1:19" x14ac:dyDescent="0.25">
      <c r="A205">
        <v>443</v>
      </c>
      <c r="B205">
        <v>35</v>
      </c>
      <c r="C205">
        <v>0</v>
      </c>
      <c r="D205">
        <v>1</v>
      </c>
      <c r="F205" s="2">
        <v>44855</v>
      </c>
      <c r="G205" s="3">
        <v>0.37266203703703704</v>
      </c>
      <c r="H205" t="s">
        <v>36</v>
      </c>
      <c r="I205" t="s">
        <v>32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8</v>
      </c>
      <c r="P205">
        <f t="shared" ref="P205" si="404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6</v>
      </c>
      <c r="Q205">
        <f t="shared" ref="Q205" si="405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6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7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453</v>
      </c>
      <c r="B206">
        <v>35</v>
      </c>
      <c r="C206">
        <v>0</v>
      </c>
      <c r="F206" s="2">
        <v>44855</v>
      </c>
      <c r="G206" s="3">
        <v>0.37277777777777782</v>
      </c>
    </row>
    <row r="207" spans="1:19" x14ac:dyDescent="0.25">
      <c r="A207">
        <v>463</v>
      </c>
      <c r="B207">
        <v>35</v>
      </c>
      <c r="C207">
        <v>0</v>
      </c>
      <c r="D207">
        <v>3</v>
      </c>
      <c r="F207" s="2">
        <v>44855</v>
      </c>
      <c r="G207" s="3">
        <v>0.37291666666666662</v>
      </c>
      <c r="H207" t="s">
        <v>33</v>
      </c>
      <c r="I207" t="s">
        <v>32</v>
      </c>
      <c r="J207" t="s">
        <v>36</v>
      </c>
      <c r="K207" t="s">
        <v>30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5</v>
      </c>
      <c r="P207">
        <f t="shared" ref="P207" si="408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6</v>
      </c>
      <c r="Q207">
        <f t="shared" ref="Q207" si="409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8</v>
      </c>
      <c r="R207">
        <f t="shared" ref="R207" si="410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7</v>
      </c>
      <c r="S207">
        <f t="shared" ref="S207" si="411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475</v>
      </c>
      <c r="B208">
        <v>35</v>
      </c>
      <c r="C208">
        <v>1</v>
      </c>
      <c r="F208" s="2">
        <v>44855</v>
      </c>
      <c r="G208" s="3">
        <v>0.37302083333333336</v>
      </c>
    </row>
    <row r="209" spans="1:19" x14ac:dyDescent="0.25">
      <c r="A209">
        <v>499</v>
      </c>
      <c r="B209">
        <v>35</v>
      </c>
      <c r="C209">
        <v>1</v>
      </c>
      <c r="D209">
        <v>1</v>
      </c>
      <c r="F209" s="2">
        <v>44855</v>
      </c>
      <c r="G209" s="3">
        <v>0.3732638888888889</v>
      </c>
      <c r="H209" t="s">
        <v>34</v>
      </c>
      <c r="I209" t="s">
        <v>29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12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2</v>
      </c>
      <c r="Q209">
        <f t="shared" ref="Q209" si="413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4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5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508</v>
      </c>
      <c r="B210">
        <v>35</v>
      </c>
      <c r="C210">
        <v>1</v>
      </c>
      <c r="F210" s="2">
        <v>44855</v>
      </c>
      <c r="G210" s="3">
        <v>0.37337962962962962</v>
      </c>
    </row>
    <row r="211" spans="1:19" x14ac:dyDescent="0.25">
      <c r="A211">
        <v>514</v>
      </c>
      <c r="B211">
        <v>35</v>
      </c>
      <c r="C211">
        <v>1</v>
      </c>
      <c r="D211">
        <v>0</v>
      </c>
      <c r="F211" s="2">
        <v>44855</v>
      </c>
      <c r="G211" s="3">
        <v>0.37343750000000003</v>
      </c>
      <c r="H211" t="s">
        <v>29</v>
      </c>
      <c r="I211" t="s">
        <v>31</v>
      </c>
      <c r="J211" t="s">
        <v>34</v>
      </c>
      <c r="K211" t="s">
        <v>35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2</v>
      </c>
      <c r="P211">
        <f t="shared" ref="P211" si="416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1</v>
      </c>
      <c r="Q211">
        <f t="shared" ref="Q211" si="417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4</v>
      </c>
      <c r="R211">
        <f t="shared" ref="R211" si="418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3</v>
      </c>
      <c r="S211">
        <f t="shared" ref="S211" si="419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524</v>
      </c>
      <c r="B212">
        <v>35</v>
      </c>
      <c r="C212">
        <v>1</v>
      </c>
      <c r="F212" s="2">
        <v>44855</v>
      </c>
      <c r="G212" s="3">
        <v>0.37355324074074076</v>
      </c>
    </row>
    <row r="213" spans="1:19" x14ac:dyDescent="0.25">
      <c r="A213">
        <v>529</v>
      </c>
      <c r="B213">
        <v>35</v>
      </c>
      <c r="C213">
        <v>1</v>
      </c>
      <c r="D213">
        <v>1</v>
      </c>
      <c r="F213" s="2">
        <v>44855</v>
      </c>
      <c r="G213" s="3">
        <v>0.37359953703703702</v>
      </c>
      <c r="H213" t="s">
        <v>31</v>
      </c>
      <c r="I213" t="s">
        <v>29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1</v>
      </c>
      <c r="P213">
        <f t="shared" ref="P213" si="420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2</v>
      </c>
      <c r="Q213">
        <f t="shared" ref="Q213" si="421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22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3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540</v>
      </c>
      <c r="B214">
        <v>35</v>
      </c>
      <c r="C214">
        <v>1</v>
      </c>
      <c r="F214" s="2">
        <v>44855</v>
      </c>
      <c r="G214" s="3">
        <v>0.37372685185185189</v>
      </c>
    </row>
    <row r="215" spans="1:19" x14ac:dyDescent="0.25">
      <c r="A215">
        <v>545</v>
      </c>
      <c r="B215">
        <v>35</v>
      </c>
      <c r="C215">
        <v>1</v>
      </c>
      <c r="D215">
        <v>0</v>
      </c>
      <c r="F215" s="2">
        <v>44855</v>
      </c>
      <c r="G215" s="3">
        <v>0.37376157407407407</v>
      </c>
      <c r="H215" t="s">
        <v>31</v>
      </c>
      <c r="I215" t="s">
        <v>34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4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5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6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7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554</v>
      </c>
      <c r="B216">
        <v>35</v>
      </c>
      <c r="C216">
        <v>1</v>
      </c>
      <c r="F216" s="2">
        <v>44855</v>
      </c>
      <c r="G216" s="3">
        <v>0.37386574074074069</v>
      </c>
    </row>
    <row r="217" spans="1:19" x14ac:dyDescent="0.25">
      <c r="A217">
        <v>574</v>
      </c>
      <c r="B217">
        <v>35</v>
      </c>
      <c r="C217">
        <v>1</v>
      </c>
      <c r="D217">
        <v>1</v>
      </c>
      <c r="F217" s="2">
        <v>44855</v>
      </c>
      <c r="G217" s="3">
        <v>0.37412037037037038</v>
      </c>
      <c r="H217" t="s">
        <v>31</v>
      </c>
      <c r="I217" t="s">
        <v>35</v>
      </c>
      <c r="L217" t="str">
        <f>IF(D217=0,H217,IF(D217=1,I217,IF(D217=2,J217,IF(D217=3,K217))))</f>
        <v>orange_pencil.jpg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1</v>
      </c>
      <c r="P217">
        <f t="shared" ref="P217" si="428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9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30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31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3</v>
      </c>
    </row>
    <row r="218" spans="1:19" hidden="1" x14ac:dyDescent="0.25">
      <c r="A218">
        <v>586</v>
      </c>
      <c r="B218">
        <v>35</v>
      </c>
      <c r="C218">
        <v>1</v>
      </c>
      <c r="F218" s="2">
        <v>44855</v>
      </c>
      <c r="G218" s="3">
        <v>0.37423611111111116</v>
      </c>
    </row>
    <row r="219" spans="1:19" x14ac:dyDescent="0.25">
      <c r="A219">
        <v>589</v>
      </c>
      <c r="B219">
        <v>35</v>
      </c>
      <c r="C219">
        <v>1</v>
      </c>
      <c r="D219">
        <v>2</v>
      </c>
      <c r="F219" s="2">
        <v>44855</v>
      </c>
      <c r="G219" s="3">
        <v>0.37427083333333333</v>
      </c>
      <c r="H219" t="s">
        <v>31</v>
      </c>
      <c r="I219" t="s">
        <v>34</v>
      </c>
      <c r="J219" t="s">
        <v>29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1</v>
      </c>
      <c r="P219">
        <f t="shared" ref="P219" si="432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3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2</v>
      </c>
      <c r="R219">
        <f t="shared" ref="R219" si="434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5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597</v>
      </c>
      <c r="B220">
        <v>35</v>
      </c>
      <c r="C220">
        <v>1</v>
      </c>
      <c r="F220" s="2">
        <v>44855</v>
      </c>
      <c r="G220" s="3">
        <v>0.37439814814814815</v>
      </c>
    </row>
    <row r="221" spans="1:19" x14ac:dyDescent="0.25">
      <c r="A221">
        <v>600</v>
      </c>
      <c r="B221">
        <v>35</v>
      </c>
      <c r="C221">
        <v>1</v>
      </c>
      <c r="D221">
        <v>1</v>
      </c>
      <c r="F221" s="2">
        <v>44855</v>
      </c>
      <c r="G221" s="3">
        <v>0.37444444444444441</v>
      </c>
      <c r="H221" t="s">
        <v>35</v>
      </c>
      <c r="I221" t="s">
        <v>29</v>
      </c>
      <c r="L221" t="str">
        <f>IF(D221=0,H221,IF(D221=1,I221,IF(D221=2,J221,IF(D221=3,K221))))</f>
        <v>red_pencil.jpg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6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7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8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9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2</v>
      </c>
    </row>
    <row r="222" spans="1:19" hidden="1" x14ac:dyDescent="0.25">
      <c r="A222">
        <v>607</v>
      </c>
      <c r="B222">
        <v>35</v>
      </c>
      <c r="C222">
        <v>1</v>
      </c>
      <c r="F222" s="2">
        <v>44855</v>
      </c>
      <c r="G222" s="3">
        <v>0.37457175925925923</v>
      </c>
    </row>
    <row r="223" spans="1:19" x14ac:dyDescent="0.25">
      <c r="A223">
        <v>611</v>
      </c>
      <c r="B223">
        <v>35</v>
      </c>
      <c r="C223">
        <v>1</v>
      </c>
      <c r="D223">
        <v>2</v>
      </c>
      <c r="F223" s="2">
        <v>44855</v>
      </c>
      <c r="G223" s="3">
        <v>0.37460648148148151</v>
      </c>
      <c r="H223" t="s">
        <v>35</v>
      </c>
      <c r="I223" t="s">
        <v>31</v>
      </c>
      <c r="J223" t="s">
        <v>29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40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41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2</v>
      </c>
      <c r="R223">
        <f t="shared" ref="R223" si="442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3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614</v>
      </c>
      <c r="B224">
        <v>35</v>
      </c>
      <c r="C224">
        <v>1</v>
      </c>
      <c r="F224" s="2">
        <v>44855</v>
      </c>
      <c r="G224" s="3">
        <v>0.37472222222222223</v>
      </c>
    </row>
    <row r="225" spans="1:19" x14ac:dyDescent="0.25">
      <c r="A225">
        <v>617</v>
      </c>
      <c r="B225">
        <v>35</v>
      </c>
      <c r="C225">
        <v>1</v>
      </c>
      <c r="D225">
        <v>0</v>
      </c>
      <c r="F225" s="2">
        <v>44855</v>
      </c>
      <c r="G225" s="3">
        <v>0.37474537037037042</v>
      </c>
      <c r="H225" t="s">
        <v>29</v>
      </c>
      <c r="I225" t="s">
        <v>34</v>
      </c>
      <c r="J225" t="s">
        <v>35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4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4</v>
      </c>
      <c r="Q225">
        <f t="shared" ref="Q225" si="445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3</v>
      </c>
      <c r="R225">
        <f t="shared" ref="R225" si="446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7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619</v>
      </c>
      <c r="B226">
        <v>35</v>
      </c>
      <c r="C226">
        <v>1</v>
      </c>
      <c r="F226" s="2">
        <v>44855</v>
      </c>
      <c r="G226" s="3">
        <v>0.37487268518518518</v>
      </c>
    </row>
    <row r="227" spans="1:19" x14ac:dyDescent="0.25">
      <c r="A227">
        <v>620</v>
      </c>
      <c r="B227">
        <v>35</v>
      </c>
      <c r="C227">
        <v>1</v>
      </c>
      <c r="D227">
        <v>1</v>
      </c>
      <c r="F227" s="2">
        <v>44855</v>
      </c>
      <c r="G227" s="3">
        <v>0.37490740740740741</v>
      </c>
      <c r="H227" t="s">
        <v>34</v>
      </c>
      <c r="I227" t="s">
        <v>35</v>
      </c>
      <c r="L227" t="str">
        <f>IF(D227=0,H227,IF(D227=1,I227,IF(D227=2,J227,IF(D227=3,K227))))</f>
        <v>orange_pencil.jpg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8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9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50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51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3</v>
      </c>
    </row>
    <row r="228" spans="1:19" hidden="1" x14ac:dyDescent="0.25">
      <c r="A228">
        <v>622</v>
      </c>
      <c r="B228">
        <v>35</v>
      </c>
      <c r="C228">
        <v>1</v>
      </c>
      <c r="F228" s="2">
        <v>44855</v>
      </c>
      <c r="G228" s="3">
        <v>0.37503472222222217</v>
      </c>
    </row>
    <row r="229" spans="1:19" x14ac:dyDescent="0.25">
      <c r="A229">
        <v>624</v>
      </c>
      <c r="B229">
        <v>35</v>
      </c>
      <c r="C229">
        <v>1</v>
      </c>
      <c r="D229">
        <v>0</v>
      </c>
      <c r="F229" s="2">
        <v>44855</v>
      </c>
      <c r="G229" s="3">
        <v>0.37513888888888891</v>
      </c>
      <c r="H229" t="s">
        <v>31</v>
      </c>
      <c r="I229" t="s">
        <v>34</v>
      </c>
      <c r="J229" t="s">
        <v>35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52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3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3</v>
      </c>
      <c r="R229">
        <f t="shared" ref="R229" si="454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5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626</v>
      </c>
      <c r="B230">
        <v>35</v>
      </c>
      <c r="C230">
        <v>2</v>
      </c>
      <c r="F230" s="2">
        <v>44855</v>
      </c>
      <c r="G230" s="3">
        <v>0.37524305555555554</v>
      </c>
    </row>
    <row r="231" spans="1:19" x14ac:dyDescent="0.25">
      <c r="A231">
        <v>627</v>
      </c>
      <c r="B231">
        <v>35</v>
      </c>
      <c r="C231">
        <v>2</v>
      </c>
      <c r="D231">
        <v>2</v>
      </c>
      <c r="F231" s="2">
        <v>44855</v>
      </c>
      <c r="G231" s="3">
        <v>0.3753009259259259</v>
      </c>
      <c r="H231" t="s">
        <v>37</v>
      </c>
      <c r="I231" t="s">
        <v>38</v>
      </c>
      <c r="J231" t="s">
        <v>39</v>
      </c>
      <c r="K231" t="s">
        <v>40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6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7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8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9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281</v>
      </c>
      <c r="B232">
        <v>36</v>
      </c>
      <c r="C232">
        <v>0</v>
      </c>
      <c r="F232" s="2">
        <v>44855</v>
      </c>
      <c r="G232" s="3">
        <v>0.3709027777777778</v>
      </c>
    </row>
    <row r="233" spans="1:19" x14ac:dyDescent="0.25">
      <c r="A233">
        <v>284</v>
      </c>
      <c r="B233">
        <v>36</v>
      </c>
      <c r="C233">
        <v>0</v>
      </c>
      <c r="D233">
        <v>0</v>
      </c>
      <c r="F233" s="2">
        <v>44855</v>
      </c>
      <c r="G233" s="3">
        <v>0.37094907407407413</v>
      </c>
      <c r="H233" t="s">
        <v>29</v>
      </c>
      <c r="I233" t="s">
        <v>34</v>
      </c>
      <c r="J233" t="s">
        <v>35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2</v>
      </c>
      <c r="P233">
        <f t="shared" ref="P233" si="460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4</v>
      </c>
      <c r="Q233">
        <f t="shared" ref="Q233" si="461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3</v>
      </c>
      <c r="R233">
        <f t="shared" ref="R233" si="462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3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294</v>
      </c>
      <c r="B234">
        <v>36</v>
      </c>
      <c r="C234">
        <v>0</v>
      </c>
      <c r="F234" s="2">
        <v>44855</v>
      </c>
      <c r="G234" s="3">
        <v>0.37106481481481479</v>
      </c>
    </row>
    <row r="235" spans="1:19" x14ac:dyDescent="0.25">
      <c r="A235">
        <v>303</v>
      </c>
      <c r="B235">
        <v>36</v>
      </c>
      <c r="C235">
        <v>0</v>
      </c>
      <c r="D235">
        <v>1</v>
      </c>
      <c r="F235" s="2">
        <v>44855</v>
      </c>
      <c r="G235" s="3">
        <v>0.37119212962962966</v>
      </c>
      <c r="H235" t="s">
        <v>35</v>
      </c>
      <c r="I235" t="s">
        <v>34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3</v>
      </c>
      <c r="P235">
        <f t="shared" ref="P235" si="464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4</v>
      </c>
      <c r="Q235">
        <f t="shared" ref="Q235" si="465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6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7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316</v>
      </c>
      <c r="B236">
        <v>36</v>
      </c>
      <c r="C236">
        <v>0</v>
      </c>
      <c r="F236" s="2">
        <v>44855</v>
      </c>
      <c r="G236" s="3">
        <v>0.37130787037037033</v>
      </c>
    </row>
    <row r="237" spans="1:19" x14ac:dyDescent="0.25">
      <c r="A237">
        <v>320</v>
      </c>
      <c r="B237">
        <v>36</v>
      </c>
      <c r="C237">
        <v>0</v>
      </c>
      <c r="D237">
        <v>1</v>
      </c>
      <c r="F237" s="2">
        <v>44855</v>
      </c>
      <c r="G237" s="3">
        <v>0.37135416666666665</v>
      </c>
      <c r="H237" t="s">
        <v>35</v>
      </c>
      <c r="I237" t="s">
        <v>31</v>
      </c>
      <c r="L237" t="str">
        <f>IF(D237=0,H237,IF(D237=1,I237,IF(D237=2,J237,IF(D237=3,K237))))</f>
        <v>yellow_pencil.jpg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8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9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70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71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1</v>
      </c>
    </row>
    <row r="238" spans="1:19" hidden="1" x14ac:dyDescent="0.25">
      <c r="A238">
        <v>329</v>
      </c>
      <c r="B238">
        <v>36</v>
      </c>
      <c r="C238">
        <v>0</v>
      </c>
      <c r="F238" s="2">
        <v>44855</v>
      </c>
      <c r="G238" s="3">
        <v>0.37145833333333328</v>
      </c>
    </row>
    <row r="239" spans="1:19" x14ac:dyDescent="0.25">
      <c r="A239">
        <v>333</v>
      </c>
      <c r="B239">
        <v>36</v>
      </c>
      <c r="C239">
        <v>0</v>
      </c>
      <c r="D239">
        <v>0</v>
      </c>
      <c r="F239" s="2">
        <v>44855</v>
      </c>
      <c r="G239" s="3">
        <v>0.37149305555555556</v>
      </c>
      <c r="H239" t="s">
        <v>29</v>
      </c>
      <c r="I239" t="s">
        <v>34</v>
      </c>
      <c r="J239" t="s">
        <v>31</v>
      </c>
      <c r="L239" t="str">
        <f>IF(D239=0,H239,IF(D239=1,I239,IF(D239=2,J239,IF(D239=3,K239))))</f>
        <v>red_pencil.jpg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2</v>
      </c>
      <c r="P239">
        <f t="shared" ref="P239" si="472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3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1</v>
      </c>
      <c r="R239">
        <f t="shared" ref="R239" si="474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5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2</v>
      </c>
    </row>
    <row r="240" spans="1:19" hidden="1" x14ac:dyDescent="0.25">
      <c r="A240">
        <v>345</v>
      </c>
      <c r="B240">
        <v>36</v>
      </c>
      <c r="C240">
        <v>0</v>
      </c>
      <c r="F240" s="2">
        <v>44855</v>
      </c>
      <c r="G240" s="3">
        <v>0.37163194444444447</v>
      </c>
    </row>
    <row r="241" spans="1:19" x14ac:dyDescent="0.25">
      <c r="A241">
        <v>348</v>
      </c>
      <c r="B241">
        <v>36</v>
      </c>
      <c r="C241">
        <v>0</v>
      </c>
      <c r="D241">
        <v>0</v>
      </c>
      <c r="F241" s="2">
        <v>44855</v>
      </c>
      <c r="G241" s="3">
        <v>0.37165509259259261</v>
      </c>
      <c r="H241" t="s">
        <v>29</v>
      </c>
      <c r="I241" t="s">
        <v>31</v>
      </c>
      <c r="J241" t="s">
        <v>34</v>
      </c>
      <c r="K241" t="s">
        <v>35</v>
      </c>
      <c r="L241" t="str">
        <f>IF(D241=0,H241,IF(D241=1,I241,IF(D241=2,J241,IF(D241=3,K241))))</f>
        <v>red_pencil.jpg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6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7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4</v>
      </c>
      <c r="R241">
        <f t="shared" ref="R241" si="478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3</v>
      </c>
      <c r="S241">
        <f t="shared" ref="S241" si="479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2</v>
      </c>
    </row>
    <row r="242" spans="1:19" hidden="1" x14ac:dyDescent="0.25">
      <c r="A242">
        <v>361</v>
      </c>
      <c r="B242">
        <v>36</v>
      </c>
      <c r="C242">
        <v>0</v>
      </c>
      <c r="F242" s="2">
        <v>44855</v>
      </c>
      <c r="G242" s="3">
        <v>0.37179398148148146</v>
      </c>
    </row>
    <row r="243" spans="1:19" x14ac:dyDescent="0.25">
      <c r="A243">
        <v>364</v>
      </c>
      <c r="B243">
        <v>36</v>
      </c>
      <c r="C243">
        <v>0</v>
      </c>
      <c r="D243">
        <v>2</v>
      </c>
      <c r="F243" s="2">
        <v>44855</v>
      </c>
      <c r="G243" s="3">
        <v>0.37184027777777778</v>
      </c>
      <c r="H243" t="s">
        <v>31</v>
      </c>
      <c r="I243" t="s">
        <v>35</v>
      </c>
      <c r="J243" t="s">
        <v>29</v>
      </c>
      <c r="L243" t="str">
        <f>IF(D243=0,H243,IF(D243=1,I243,IF(D243=2,J243,IF(D243=3,K243))))</f>
        <v>red_pencil.jpg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80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81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2</v>
      </c>
      <c r="R243">
        <f t="shared" ref="R243" si="482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3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2</v>
      </c>
    </row>
    <row r="244" spans="1:19" hidden="1" x14ac:dyDescent="0.25">
      <c r="A244">
        <v>376</v>
      </c>
      <c r="B244">
        <v>36</v>
      </c>
      <c r="C244">
        <v>0</v>
      </c>
      <c r="F244" s="2">
        <v>44855</v>
      </c>
      <c r="G244" s="3">
        <v>0.37195601851851851</v>
      </c>
    </row>
    <row r="245" spans="1:19" x14ac:dyDescent="0.25">
      <c r="A245">
        <v>380</v>
      </c>
      <c r="B245">
        <v>36</v>
      </c>
      <c r="C245">
        <v>0</v>
      </c>
      <c r="D245">
        <v>1</v>
      </c>
      <c r="F245" s="2">
        <v>44855</v>
      </c>
      <c r="G245" s="3">
        <v>0.37202546296296296</v>
      </c>
      <c r="H245" t="s">
        <v>34</v>
      </c>
      <c r="I245" t="s">
        <v>31</v>
      </c>
      <c r="L245" t="str">
        <f>IF(D245=0,H245,IF(D245=1,I245,IF(D245=2,J245,IF(D245=3,K245))))</f>
        <v>yellow_pencil.jpg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4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5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6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7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1</v>
      </c>
    </row>
    <row r="246" spans="1:19" hidden="1" x14ac:dyDescent="0.25">
      <c r="A246">
        <v>393</v>
      </c>
      <c r="B246">
        <v>36</v>
      </c>
      <c r="C246">
        <v>0</v>
      </c>
      <c r="F246" s="2">
        <v>44855</v>
      </c>
      <c r="G246" s="3">
        <v>0.37215277777777778</v>
      </c>
    </row>
    <row r="247" spans="1:19" x14ac:dyDescent="0.25">
      <c r="A247">
        <v>398</v>
      </c>
      <c r="B247">
        <v>36</v>
      </c>
      <c r="C247">
        <v>0</v>
      </c>
      <c r="D247">
        <v>0</v>
      </c>
      <c r="F247" s="2">
        <v>44855</v>
      </c>
      <c r="G247" s="3">
        <v>0.37218749999999995</v>
      </c>
      <c r="H247" t="s">
        <v>34</v>
      </c>
      <c r="I247" t="s">
        <v>35</v>
      </c>
      <c r="J247" t="s">
        <v>31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8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3</v>
      </c>
      <c r="Q247">
        <f t="shared" ref="Q247" si="489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1</v>
      </c>
      <c r="R247">
        <f t="shared" ref="R247" si="490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91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407</v>
      </c>
      <c r="B248">
        <v>36</v>
      </c>
      <c r="C248">
        <v>0</v>
      </c>
      <c r="F248" s="2">
        <v>44855</v>
      </c>
      <c r="G248" s="3">
        <v>0.37229166666666669</v>
      </c>
    </row>
    <row r="249" spans="1:19" x14ac:dyDescent="0.25">
      <c r="A249">
        <v>410</v>
      </c>
      <c r="B249">
        <v>36</v>
      </c>
      <c r="C249">
        <v>0</v>
      </c>
      <c r="D249">
        <v>1</v>
      </c>
      <c r="F249" s="2">
        <v>44855</v>
      </c>
      <c r="G249" s="3">
        <v>0.37231481481481482</v>
      </c>
      <c r="H249" t="s">
        <v>35</v>
      </c>
      <c r="I249" t="s">
        <v>29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92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3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4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5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418</v>
      </c>
      <c r="B250">
        <v>36</v>
      </c>
      <c r="C250">
        <v>0</v>
      </c>
      <c r="F250" s="2">
        <v>44855</v>
      </c>
      <c r="G250" s="3">
        <v>0.3724189814814815</v>
      </c>
    </row>
    <row r="251" spans="1:19" x14ac:dyDescent="0.25">
      <c r="A251">
        <v>423</v>
      </c>
      <c r="B251">
        <v>36</v>
      </c>
      <c r="C251">
        <v>0</v>
      </c>
      <c r="D251">
        <v>0</v>
      </c>
      <c r="F251" s="2">
        <v>44855</v>
      </c>
      <c r="G251" s="3">
        <v>0.37246527777777777</v>
      </c>
      <c r="H251" t="s">
        <v>29</v>
      </c>
      <c r="I251" t="s">
        <v>31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6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497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8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9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433</v>
      </c>
      <c r="B252">
        <v>36</v>
      </c>
      <c r="C252">
        <v>0</v>
      </c>
      <c r="F252" s="2">
        <v>44855</v>
      </c>
      <c r="G252" s="3">
        <v>0.37258101851851855</v>
      </c>
    </row>
    <row r="253" spans="1:19" x14ac:dyDescent="0.25">
      <c r="A253">
        <v>434</v>
      </c>
      <c r="B253">
        <v>36</v>
      </c>
      <c r="C253">
        <v>0</v>
      </c>
      <c r="D253">
        <v>0</v>
      </c>
      <c r="F253" s="2">
        <v>44855</v>
      </c>
      <c r="G253" s="3">
        <v>0.37260416666666668</v>
      </c>
      <c r="H253" t="s">
        <v>29</v>
      </c>
      <c r="I253" t="s">
        <v>34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500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4</v>
      </c>
      <c r="Q253">
        <f t="shared" ref="Q253" si="501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502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3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447</v>
      </c>
      <c r="B254">
        <v>36</v>
      </c>
      <c r="C254">
        <v>1</v>
      </c>
      <c r="F254" s="2">
        <v>44855</v>
      </c>
      <c r="G254" s="3">
        <v>0.3727199074074074</v>
      </c>
    </row>
    <row r="255" spans="1:19" x14ac:dyDescent="0.25">
      <c r="A255">
        <v>456</v>
      </c>
      <c r="B255">
        <v>36</v>
      </c>
      <c r="C255">
        <v>1</v>
      </c>
      <c r="D255">
        <v>1</v>
      </c>
      <c r="F255" s="2">
        <v>44855</v>
      </c>
      <c r="G255" s="3">
        <v>0.37280092592592595</v>
      </c>
      <c r="H255" t="s">
        <v>30</v>
      </c>
      <c r="I255" t="s">
        <v>36</v>
      </c>
      <c r="L255" t="str">
        <f>IF(D255=0,H255,IF(D255=1,I255,IF(D255=2,J255,IF(D255=3,K255))))</f>
        <v>green_pen.jpg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4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8</v>
      </c>
      <c r="Q255">
        <f t="shared" ref="Q255" si="505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6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7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8</v>
      </c>
    </row>
    <row r="256" spans="1:19" hidden="1" x14ac:dyDescent="0.25">
      <c r="A256">
        <v>461</v>
      </c>
      <c r="B256">
        <v>36</v>
      </c>
      <c r="C256">
        <v>1</v>
      </c>
      <c r="F256" s="2">
        <v>44855</v>
      </c>
      <c r="G256" s="3">
        <v>0.37290509259259258</v>
      </c>
    </row>
    <row r="257" spans="1:19" x14ac:dyDescent="0.25">
      <c r="A257">
        <v>469</v>
      </c>
      <c r="B257">
        <v>36</v>
      </c>
      <c r="C257">
        <v>1</v>
      </c>
      <c r="D257">
        <v>1</v>
      </c>
      <c r="F257" s="2">
        <v>44855</v>
      </c>
      <c r="G257" s="3">
        <v>0.3729513888888889</v>
      </c>
      <c r="H257" t="s">
        <v>32</v>
      </c>
      <c r="I257" t="s">
        <v>30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8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7</v>
      </c>
      <c r="Q257">
        <f t="shared" ref="Q257" si="509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10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11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hidden="1" x14ac:dyDescent="0.25">
      <c r="A258">
        <v>478</v>
      </c>
      <c r="B258">
        <v>36</v>
      </c>
      <c r="C258">
        <v>1</v>
      </c>
      <c r="F258" s="2">
        <v>44855</v>
      </c>
      <c r="G258" s="3">
        <v>0.37306712962962968</v>
      </c>
    </row>
    <row r="259" spans="1:19" x14ac:dyDescent="0.25">
      <c r="A259">
        <v>484</v>
      </c>
      <c r="B259">
        <v>36</v>
      </c>
      <c r="C259">
        <v>1</v>
      </c>
      <c r="D259">
        <v>0</v>
      </c>
      <c r="F259" s="2">
        <v>44855</v>
      </c>
      <c r="G259" s="3">
        <v>0.37309027777777781</v>
      </c>
      <c r="H259" t="s">
        <v>33</v>
      </c>
      <c r="I259" t="s">
        <v>32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12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3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4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5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492</v>
      </c>
      <c r="B260">
        <v>36</v>
      </c>
      <c r="C260">
        <v>1</v>
      </c>
      <c r="F260" s="2">
        <v>44855</v>
      </c>
      <c r="G260" s="3">
        <v>0.37320601851851848</v>
      </c>
    </row>
    <row r="261" spans="1:19" x14ac:dyDescent="0.25">
      <c r="A261">
        <v>494</v>
      </c>
      <c r="B261">
        <v>36</v>
      </c>
      <c r="C261">
        <v>1</v>
      </c>
      <c r="D261">
        <v>1</v>
      </c>
      <c r="F261" s="2">
        <v>44855</v>
      </c>
      <c r="G261" s="3">
        <v>0.37322916666666667</v>
      </c>
      <c r="H261" t="s">
        <v>32</v>
      </c>
      <c r="I261" t="s">
        <v>33</v>
      </c>
      <c r="J261" t="s">
        <v>30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6</v>
      </c>
      <c r="P261">
        <f t="shared" ref="P261" si="516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7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7</v>
      </c>
      <c r="R261">
        <f t="shared" ref="R261" si="518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9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503</v>
      </c>
      <c r="B262">
        <v>36</v>
      </c>
      <c r="C262">
        <v>1</v>
      </c>
      <c r="F262" s="2">
        <v>44855</v>
      </c>
      <c r="G262" s="3">
        <v>0.37333333333333335</v>
      </c>
    </row>
    <row r="263" spans="1:19" x14ac:dyDescent="0.25">
      <c r="A263">
        <v>505</v>
      </c>
      <c r="B263">
        <v>36</v>
      </c>
      <c r="C263">
        <v>1</v>
      </c>
      <c r="D263">
        <v>1</v>
      </c>
      <c r="F263" s="2">
        <v>44855</v>
      </c>
      <c r="G263" s="3">
        <v>0.37335648148148143</v>
      </c>
      <c r="H263" t="s">
        <v>32</v>
      </c>
      <c r="I263" t="s">
        <v>33</v>
      </c>
      <c r="J263" t="s">
        <v>36</v>
      </c>
      <c r="L263" t="str">
        <f>IF(D263=0,H263,IF(D263=1,I263,IF(D263=2,J263,IF(D263=3,K263))))</f>
        <v>yellow_pen.jpg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6</v>
      </c>
      <c r="P263">
        <f t="shared" ref="P263" si="520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5</v>
      </c>
      <c r="Q263">
        <f t="shared" ref="Q263" si="521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8</v>
      </c>
      <c r="R263">
        <f t="shared" ref="R263" si="522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3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5</v>
      </c>
    </row>
    <row r="264" spans="1:19" hidden="1" x14ac:dyDescent="0.25">
      <c r="A264">
        <v>517</v>
      </c>
      <c r="B264">
        <v>36</v>
      </c>
      <c r="C264">
        <v>1</v>
      </c>
      <c r="F264" s="2">
        <v>44855</v>
      </c>
      <c r="G264" s="3">
        <v>0.37347222222222221</v>
      </c>
    </row>
    <row r="265" spans="1:19" x14ac:dyDescent="0.25">
      <c r="A265">
        <v>519</v>
      </c>
      <c r="B265">
        <v>36</v>
      </c>
      <c r="C265">
        <v>1</v>
      </c>
      <c r="D265">
        <v>3</v>
      </c>
      <c r="F265" s="2">
        <v>44855</v>
      </c>
      <c r="G265" s="3">
        <v>0.37349537037037034</v>
      </c>
      <c r="H265" t="s">
        <v>32</v>
      </c>
      <c r="I265" t="s">
        <v>30</v>
      </c>
      <c r="J265" t="s">
        <v>36</v>
      </c>
      <c r="K265" t="s">
        <v>33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4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7</v>
      </c>
      <c r="Q265">
        <f t="shared" ref="Q265" si="525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8</v>
      </c>
      <c r="R265">
        <f t="shared" ref="R265" si="526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5</v>
      </c>
      <c r="S265">
        <f t="shared" ref="S265" si="527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531</v>
      </c>
      <c r="B266">
        <v>36</v>
      </c>
      <c r="C266">
        <v>1</v>
      </c>
      <c r="F266" s="2">
        <v>44855</v>
      </c>
      <c r="G266" s="3">
        <v>0.37362268518518515</v>
      </c>
    </row>
    <row r="267" spans="1:19" x14ac:dyDescent="0.25">
      <c r="A267">
        <v>534</v>
      </c>
      <c r="B267">
        <v>36</v>
      </c>
      <c r="C267">
        <v>1</v>
      </c>
      <c r="D267">
        <v>0</v>
      </c>
      <c r="F267" s="2">
        <v>44855</v>
      </c>
      <c r="G267" s="3">
        <v>0.37364583333333329</v>
      </c>
      <c r="H267" t="s">
        <v>33</v>
      </c>
      <c r="I267" t="s">
        <v>36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8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8</v>
      </c>
      <c r="Q267">
        <f t="shared" ref="Q267" si="529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30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31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546</v>
      </c>
      <c r="B268">
        <v>36</v>
      </c>
      <c r="C268">
        <v>1</v>
      </c>
      <c r="F268" s="2">
        <v>44855</v>
      </c>
      <c r="G268" s="3">
        <v>0.37377314814814816</v>
      </c>
    </row>
    <row r="269" spans="1:19" x14ac:dyDescent="0.25">
      <c r="A269">
        <v>549</v>
      </c>
      <c r="B269">
        <v>36</v>
      </c>
      <c r="C269">
        <v>1</v>
      </c>
      <c r="D269">
        <v>1</v>
      </c>
      <c r="F269" s="2">
        <v>44855</v>
      </c>
      <c r="G269" s="3">
        <v>0.37380787037037039</v>
      </c>
      <c r="H269" t="s">
        <v>36</v>
      </c>
      <c r="I269" t="s">
        <v>32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32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3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4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5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560</v>
      </c>
      <c r="B270">
        <v>36</v>
      </c>
      <c r="C270">
        <v>1</v>
      </c>
      <c r="F270" s="2">
        <v>44855</v>
      </c>
      <c r="G270" s="3">
        <v>0.37393518518518515</v>
      </c>
    </row>
    <row r="271" spans="1:19" x14ac:dyDescent="0.25">
      <c r="A271">
        <v>563</v>
      </c>
      <c r="B271">
        <v>36</v>
      </c>
      <c r="C271">
        <v>1</v>
      </c>
      <c r="D271">
        <v>1</v>
      </c>
      <c r="F271" s="2">
        <v>44855</v>
      </c>
      <c r="G271" s="3">
        <v>0.37398148148148147</v>
      </c>
      <c r="H271" t="s">
        <v>36</v>
      </c>
      <c r="I271" t="s">
        <v>32</v>
      </c>
      <c r="J271" t="s">
        <v>30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6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7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7</v>
      </c>
      <c r="R271">
        <f t="shared" ref="R271" si="538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9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573</v>
      </c>
      <c r="B272">
        <v>36</v>
      </c>
      <c r="C272">
        <v>1</v>
      </c>
      <c r="F272" s="2">
        <v>44855</v>
      </c>
      <c r="G272" s="3">
        <v>0.37410879629629629</v>
      </c>
    </row>
    <row r="273" spans="1:19" x14ac:dyDescent="0.25">
      <c r="A273">
        <v>577</v>
      </c>
      <c r="B273">
        <v>36</v>
      </c>
      <c r="C273">
        <v>1</v>
      </c>
      <c r="D273">
        <v>1</v>
      </c>
      <c r="F273" s="2">
        <v>44855</v>
      </c>
      <c r="G273" s="3">
        <v>0.37414351851851851</v>
      </c>
      <c r="H273" t="s">
        <v>36</v>
      </c>
      <c r="I273" t="s">
        <v>33</v>
      </c>
      <c r="J273" t="s">
        <v>30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40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41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7</v>
      </c>
      <c r="R273">
        <f t="shared" ref="R273" si="542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3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588</v>
      </c>
      <c r="B274">
        <v>36</v>
      </c>
      <c r="C274">
        <v>1</v>
      </c>
      <c r="F274" s="2">
        <v>44855</v>
      </c>
      <c r="G274" s="3">
        <v>0.37425925925925929</v>
      </c>
    </row>
    <row r="275" spans="1:19" x14ac:dyDescent="0.25">
      <c r="A275">
        <v>591</v>
      </c>
      <c r="B275">
        <v>36</v>
      </c>
      <c r="C275">
        <v>1</v>
      </c>
      <c r="D275">
        <v>0</v>
      </c>
      <c r="F275" s="2">
        <v>44855</v>
      </c>
      <c r="G275" s="3">
        <v>0.3743055555555555</v>
      </c>
      <c r="H275" t="s">
        <v>33</v>
      </c>
      <c r="I275" t="s">
        <v>30</v>
      </c>
      <c r="L275" t="str">
        <f>IF(D275=0,H275,IF(D275=1,I275,IF(D275=2,J275,IF(D275=3,K275))))</f>
        <v>yellow_pen.jpg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4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5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6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7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5</v>
      </c>
    </row>
    <row r="276" spans="1:19" hidden="1" x14ac:dyDescent="0.25">
      <c r="A276">
        <v>598</v>
      </c>
      <c r="B276">
        <v>36</v>
      </c>
      <c r="C276">
        <v>2</v>
      </c>
      <c r="F276" s="2">
        <v>44855</v>
      </c>
      <c r="G276" s="3">
        <v>0.37440972222222224</v>
      </c>
    </row>
    <row r="277" spans="1:19" x14ac:dyDescent="0.25">
      <c r="A277">
        <v>602</v>
      </c>
      <c r="B277">
        <v>36</v>
      </c>
      <c r="C277">
        <v>2</v>
      </c>
      <c r="D277">
        <v>1</v>
      </c>
      <c r="F277" s="2">
        <v>44855</v>
      </c>
      <c r="G277" s="3">
        <v>0.3744675925925926</v>
      </c>
      <c r="H277" t="s">
        <v>39</v>
      </c>
      <c r="I277" t="s">
        <v>37</v>
      </c>
      <c r="J277" t="s">
        <v>40</v>
      </c>
      <c r="K277" t="s">
        <v>38</v>
      </c>
      <c r="L277" t="str">
        <f>IF(D277=0,H277,IF(D277=1,I277,IF(D277=2,J277,IF(D277=3,K277))))</f>
        <v>pen3.jpg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8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9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50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51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11</v>
      </c>
    </row>
    <row r="278" spans="1:19" hidden="1" x14ac:dyDescent="0.25">
      <c r="A278">
        <v>291</v>
      </c>
      <c r="B278">
        <v>37</v>
      </c>
      <c r="C278">
        <v>0</v>
      </c>
      <c r="F278" s="2">
        <v>44855</v>
      </c>
      <c r="G278" s="3">
        <v>0.37105324074074075</v>
      </c>
    </row>
    <row r="279" spans="1:19" x14ac:dyDescent="0.25">
      <c r="A279">
        <v>298</v>
      </c>
      <c r="B279">
        <v>37</v>
      </c>
      <c r="C279">
        <v>0</v>
      </c>
      <c r="D279">
        <v>0</v>
      </c>
      <c r="F279" s="2">
        <v>44855</v>
      </c>
      <c r="G279" s="3">
        <v>0.37111111111111111</v>
      </c>
      <c r="H279" t="s">
        <v>33</v>
      </c>
      <c r="I279" t="s">
        <v>30</v>
      </c>
      <c r="J279" t="s">
        <v>36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52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3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8</v>
      </c>
      <c r="R279">
        <f t="shared" ref="R279" si="554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5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307</v>
      </c>
      <c r="B280">
        <v>37</v>
      </c>
      <c r="C280">
        <v>0</v>
      </c>
      <c r="F280" s="2">
        <v>44855</v>
      </c>
      <c r="G280" s="3">
        <v>0.37121527777777774</v>
      </c>
    </row>
    <row r="281" spans="1:19" x14ac:dyDescent="0.25">
      <c r="A281">
        <v>312</v>
      </c>
      <c r="B281">
        <v>37</v>
      </c>
      <c r="C281">
        <v>0</v>
      </c>
      <c r="D281">
        <v>3</v>
      </c>
      <c r="F281" s="2">
        <v>44855</v>
      </c>
      <c r="G281" s="3">
        <v>0.37126157407407406</v>
      </c>
      <c r="H281" t="s">
        <v>36</v>
      </c>
      <c r="I281" t="s">
        <v>32</v>
      </c>
      <c r="J281" t="s">
        <v>30</v>
      </c>
      <c r="K281" t="s">
        <v>33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8</v>
      </c>
      <c r="P281">
        <f t="shared" ref="P281" si="556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7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7</v>
      </c>
      <c r="R281">
        <f t="shared" ref="R281" si="558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5</v>
      </c>
      <c r="S281">
        <f t="shared" ref="S281" si="559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321</v>
      </c>
      <c r="B282">
        <v>37</v>
      </c>
      <c r="C282">
        <v>0</v>
      </c>
      <c r="F282" s="2">
        <v>44855</v>
      </c>
      <c r="G282" s="3">
        <v>0.37137731481481479</v>
      </c>
    </row>
    <row r="283" spans="1:19" x14ac:dyDescent="0.25">
      <c r="A283">
        <v>326</v>
      </c>
      <c r="B283">
        <v>37</v>
      </c>
      <c r="C283">
        <v>0</v>
      </c>
      <c r="D283">
        <v>1</v>
      </c>
      <c r="F283" s="2">
        <v>44855</v>
      </c>
      <c r="G283" s="3">
        <v>0.37141203703703707</v>
      </c>
      <c r="H283" t="s">
        <v>30</v>
      </c>
      <c r="I283" t="s">
        <v>33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7</v>
      </c>
      <c r="P283">
        <f t="shared" ref="P283" si="560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61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62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3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335</v>
      </c>
      <c r="B284">
        <v>37</v>
      </c>
      <c r="C284">
        <v>0</v>
      </c>
      <c r="F284" s="2">
        <v>44855</v>
      </c>
      <c r="G284" s="3">
        <v>0.3715162037037037</v>
      </c>
    </row>
    <row r="285" spans="1:19" x14ac:dyDescent="0.25">
      <c r="A285">
        <v>340</v>
      </c>
      <c r="B285">
        <v>37</v>
      </c>
      <c r="C285">
        <v>0</v>
      </c>
      <c r="D285">
        <v>2</v>
      </c>
      <c r="F285" s="2">
        <v>44855</v>
      </c>
      <c r="G285" s="3">
        <v>0.37158564814814815</v>
      </c>
      <c r="H285" t="s">
        <v>36</v>
      </c>
      <c r="I285" t="s">
        <v>32</v>
      </c>
      <c r="J285" t="s">
        <v>30</v>
      </c>
      <c r="L285" t="str">
        <f>IF(D285=0,H285,IF(D285=1,I285,IF(D285=2,J285,IF(D285=3,K285))))</f>
        <v>blue_pen.jpg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8</v>
      </c>
      <c r="P285">
        <f t="shared" ref="P285" si="564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5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7</v>
      </c>
      <c r="R285">
        <f t="shared" ref="R285" si="566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7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7</v>
      </c>
    </row>
    <row r="286" spans="1:19" hidden="1" x14ac:dyDescent="0.25">
      <c r="A286">
        <v>353</v>
      </c>
      <c r="B286">
        <v>37</v>
      </c>
      <c r="C286">
        <v>0</v>
      </c>
      <c r="F286" s="2">
        <v>44855</v>
      </c>
      <c r="G286" s="3">
        <v>0.37171296296296297</v>
      </c>
    </row>
    <row r="287" spans="1:19" x14ac:dyDescent="0.25">
      <c r="A287">
        <v>355</v>
      </c>
      <c r="B287">
        <v>37</v>
      </c>
      <c r="C287">
        <v>0</v>
      </c>
      <c r="D287">
        <v>1</v>
      </c>
      <c r="F287" s="2">
        <v>44855</v>
      </c>
      <c r="G287" s="3">
        <v>0.37174768518518514</v>
      </c>
      <c r="H287" t="s">
        <v>36</v>
      </c>
      <c r="I287" t="s">
        <v>33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8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9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70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71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367</v>
      </c>
      <c r="B288">
        <v>37</v>
      </c>
      <c r="C288">
        <v>0</v>
      </c>
      <c r="F288" s="2">
        <v>44855</v>
      </c>
      <c r="G288" s="3">
        <v>0.37187500000000001</v>
      </c>
    </row>
    <row r="289" spans="1:19" x14ac:dyDescent="0.25">
      <c r="A289">
        <v>371</v>
      </c>
      <c r="B289">
        <v>37</v>
      </c>
      <c r="C289">
        <v>0</v>
      </c>
      <c r="D289">
        <v>2</v>
      </c>
      <c r="F289" s="2">
        <v>44855</v>
      </c>
      <c r="G289" s="3">
        <v>0.37190972222222224</v>
      </c>
      <c r="H289" t="s">
        <v>32</v>
      </c>
      <c r="I289" t="s">
        <v>30</v>
      </c>
      <c r="J289" t="s">
        <v>33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72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 t="shared" ref="Q289" si="573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5</v>
      </c>
      <c r="R289">
        <f t="shared" ref="R289" si="574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5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382</v>
      </c>
      <c r="B290">
        <v>37</v>
      </c>
      <c r="C290">
        <v>0</v>
      </c>
      <c r="F290" s="2">
        <v>44855</v>
      </c>
      <c r="G290" s="3">
        <v>0.37202546296296296</v>
      </c>
    </row>
    <row r="291" spans="1:19" x14ac:dyDescent="0.25">
      <c r="A291">
        <v>388</v>
      </c>
      <c r="B291">
        <v>37</v>
      </c>
      <c r="C291">
        <v>0</v>
      </c>
      <c r="D291">
        <v>1</v>
      </c>
      <c r="F291" s="2">
        <v>44855</v>
      </c>
      <c r="G291" s="3">
        <v>0.37207175925925928</v>
      </c>
      <c r="H291" t="s">
        <v>32</v>
      </c>
      <c r="I291" t="s">
        <v>30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6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7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8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9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396</v>
      </c>
      <c r="B292">
        <v>37</v>
      </c>
      <c r="C292">
        <v>0</v>
      </c>
      <c r="F292" s="2">
        <v>44855</v>
      </c>
      <c r="G292" s="3">
        <v>0.37217592592592591</v>
      </c>
    </row>
    <row r="293" spans="1:19" x14ac:dyDescent="0.25">
      <c r="A293">
        <v>401</v>
      </c>
      <c r="B293">
        <v>37</v>
      </c>
      <c r="C293">
        <v>0</v>
      </c>
      <c r="D293">
        <v>1</v>
      </c>
      <c r="F293" s="2">
        <v>44855</v>
      </c>
      <c r="G293" s="3">
        <v>0.37221064814814814</v>
      </c>
      <c r="H293" t="s">
        <v>32</v>
      </c>
      <c r="I293" t="s">
        <v>33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80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81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82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3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408</v>
      </c>
      <c r="B294">
        <v>37</v>
      </c>
      <c r="C294">
        <v>0</v>
      </c>
      <c r="F294" s="2">
        <v>44855</v>
      </c>
      <c r="G294" s="3">
        <v>0.37231481481481482</v>
      </c>
    </row>
    <row r="295" spans="1:19" x14ac:dyDescent="0.25">
      <c r="A295">
        <v>415</v>
      </c>
      <c r="B295">
        <v>37</v>
      </c>
      <c r="C295">
        <v>0</v>
      </c>
      <c r="D295">
        <v>0</v>
      </c>
      <c r="F295" s="2">
        <v>44855</v>
      </c>
      <c r="G295" s="3">
        <v>0.37234953703703705</v>
      </c>
      <c r="H295" t="s">
        <v>33</v>
      </c>
      <c r="I295" t="s">
        <v>32</v>
      </c>
      <c r="J295" t="s">
        <v>36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4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5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8</v>
      </c>
      <c r="R295">
        <f t="shared" ref="R295" si="586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7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422</v>
      </c>
      <c r="B296">
        <v>37</v>
      </c>
      <c r="C296">
        <v>0</v>
      </c>
      <c r="F296" s="2">
        <v>44855</v>
      </c>
      <c r="G296" s="3">
        <v>0.37245370370370368</v>
      </c>
    </row>
    <row r="297" spans="1:19" x14ac:dyDescent="0.25">
      <c r="A297">
        <v>428</v>
      </c>
      <c r="B297">
        <v>37</v>
      </c>
      <c r="C297">
        <v>0</v>
      </c>
      <c r="D297">
        <v>0</v>
      </c>
      <c r="F297" s="2">
        <v>44855</v>
      </c>
      <c r="G297" s="3">
        <v>0.3725</v>
      </c>
      <c r="H297" t="s">
        <v>32</v>
      </c>
      <c r="I297" t="s">
        <v>36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8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9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90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91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438</v>
      </c>
      <c r="B298">
        <v>37</v>
      </c>
      <c r="C298">
        <v>0</v>
      </c>
      <c r="F298" s="2">
        <v>44855</v>
      </c>
      <c r="G298" s="3">
        <v>0.37261574074074072</v>
      </c>
    </row>
    <row r="299" spans="1:19" x14ac:dyDescent="0.25">
      <c r="A299">
        <v>442</v>
      </c>
      <c r="B299">
        <v>37</v>
      </c>
      <c r="C299">
        <v>0</v>
      </c>
      <c r="D299">
        <v>1</v>
      </c>
      <c r="F299" s="2">
        <v>44855</v>
      </c>
      <c r="G299" s="3">
        <v>0.37266203703703704</v>
      </c>
      <c r="H299" t="s">
        <v>36</v>
      </c>
      <c r="I299" t="s">
        <v>30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92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3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4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5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450</v>
      </c>
      <c r="B300">
        <v>37</v>
      </c>
      <c r="C300">
        <v>1</v>
      </c>
      <c r="F300" s="2">
        <v>44855</v>
      </c>
      <c r="G300" s="3">
        <v>0.37276620370370367</v>
      </c>
    </row>
    <row r="301" spans="1:19" x14ac:dyDescent="0.25">
      <c r="A301">
        <v>459</v>
      </c>
      <c r="B301">
        <v>37</v>
      </c>
      <c r="C301">
        <v>1</v>
      </c>
      <c r="D301">
        <v>0</v>
      </c>
      <c r="F301" s="2">
        <v>44855</v>
      </c>
      <c r="G301" s="3">
        <v>0.37281249999999999</v>
      </c>
      <c r="H301" t="s">
        <v>29</v>
      </c>
      <c r="I301" t="s">
        <v>34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6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7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8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9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465</v>
      </c>
      <c r="B302">
        <v>37</v>
      </c>
      <c r="C302">
        <v>1</v>
      </c>
      <c r="F302" s="2">
        <v>44855</v>
      </c>
      <c r="G302" s="3">
        <v>0.37291666666666662</v>
      </c>
    </row>
    <row r="303" spans="1:19" x14ac:dyDescent="0.25">
      <c r="A303">
        <v>474</v>
      </c>
      <c r="B303">
        <v>37</v>
      </c>
      <c r="C303">
        <v>1</v>
      </c>
      <c r="D303">
        <v>1</v>
      </c>
      <c r="F303" s="2">
        <v>44855</v>
      </c>
      <c r="G303" s="3">
        <v>0.37297453703703703</v>
      </c>
      <c r="H303" t="s">
        <v>35</v>
      </c>
      <c r="I303" t="s">
        <v>31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600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601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602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3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485</v>
      </c>
      <c r="B304">
        <v>37</v>
      </c>
      <c r="C304">
        <v>1</v>
      </c>
      <c r="F304" s="2">
        <v>44855</v>
      </c>
      <c r="G304" s="3">
        <v>0.37309027777777781</v>
      </c>
    </row>
    <row r="305" spans="1:19" x14ac:dyDescent="0.25">
      <c r="A305">
        <v>489</v>
      </c>
      <c r="B305">
        <v>37</v>
      </c>
      <c r="C305">
        <v>1</v>
      </c>
      <c r="D305">
        <v>2</v>
      </c>
      <c r="F305" s="2">
        <v>44855</v>
      </c>
      <c r="G305" s="3">
        <v>0.37317129629629631</v>
      </c>
      <c r="H305" t="s">
        <v>35</v>
      </c>
      <c r="I305" t="s">
        <v>34</v>
      </c>
      <c r="J305" t="s">
        <v>29</v>
      </c>
      <c r="K305" t="s">
        <v>31</v>
      </c>
      <c r="L305" t="str">
        <f>IF(D305=0,H305,IF(D305=1,I305,IF(D305=2,J305,IF(D305=3,K305))))</f>
        <v>red_pencil.jpg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4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5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2</v>
      </c>
      <c r="R305">
        <f t="shared" ref="R305" si="606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1</v>
      </c>
      <c r="S305">
        <f t="shared" ref="S305" si="607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2</v>
      </c>
    </row>
    <row r="306" spans="1:19" hidden="1" x14ac:dyDescent="0.25">
      <c r="A306">
        <v>502</v>
      </c>
      <c r="B306">
        <v>37</v>
      </c>
      <c r="C306">
        <v>1</v>
      </c>
      <c r="F306" s="2">
        <v>44855</v>
      </c>
      <c r="G306" s="3">
        <v>0.37329861111111112</v>
      </c>
    </row>
    <row r="307" spans="1:19" x14ac:dyDescent="0.25">
      <c r="A307">
        <v>504</v>
      </c>
      <c r="B307">
        <v>37</v>
      </c>
      <c r="C307">
        <v>1</v>
      </c>
      <c r="D307">
        <v>1</v>
      </c>
      <c r="F307" s="2">
        <v>44855</v>
      </c>
      <c r="G307" s="3">
        <v>0.37335648148148143</v>
      </c>
      <c r="H307" t="s">
        <v>34</v>
      </c>
      <c r="I307" t="s">
        <v>29</v>
      </c>
      <c r="J307" t="s">
        <v>31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4</v>
      </c>
      <c r="P307">
        <f t="shared" ref="P307" si="608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9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1</v>
      </c>
      <c r="R307">
        <f t="shared" ref="R307" si="610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11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hidden="1" x14ac:dyDescent="0.25">
      <c r="A308">
        <v>515</v>
      </c>
      <c r="B308">
        <v>37</v>
      </c>
      <c r="C308">
        <v>1</v>
      </c>
      <c r="F308" s="2">
        <v>44855</v>
      </c>
      <c r="G308" s="3">
        <v>0.37346064814814817</v>
      </c>
    </row>
    <row r="309" spans="1:19" x14ac:dyDescent="0.25">
      <c r="A309">
        <v>521</v>
      </c>
      <c r="B309">
        <v>37</v>
      </c>
      <c r="C309">
        <v>1</v>
      </c>
      <c r="D309">
        <v>0</v>
      </c>
      <c r="F309" s="2">
        <v>44855</v>
      </c>
      <c r="G309" s="3">
        <v>0.37353009259259262</v>
      </c>
      <c r="H309" t="s">
        <v>31</v>
      </c>
      <c r="I309" t="s">
        <v>34</v>
      </c>
      <c r="J309" t="s">
        <v>35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1</v>
      </c>
      <c r="P309">
        <f t="shared" ref="P309" si="612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13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3</v>
      </c>
      <c r="R309">
        <f t="shared" ref="R309" si="614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5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533</v>
      </c>
      <c r="B310">
        <v>37</v>
      </c>
      <c r="C310">
        <v>1</v>
      </c>
      <c r="F310" s="2">
        <v>44855</v>
      </c>
      <c r="G310" s="3">
        <v>0.37364583333333329</v>
      </c>
    </row>
    <row r="311" spans="1:19" x14ac:dyDescent="0.25">
      <c r="A311">
        <v>535</v>
      </c>
      <c r="B311">
        <v>37</v>
      </c>
      <c r="C311">
        <v>1</v>
      </c>
      <c r="D311">
        <v>1</v>
      </c>
      <c r="F311" s="2">
        <v>44855</v>
      </c>
      <c r="G311" s="3">
        <v>0.37368055555555557</v>
      </c>
      <c r="H311" t="s">
        <v>31</v>
      </c>
      <c r="I311" t="s">
        <v>29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6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7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8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9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548</v>
      </c>
      <c r="B312">
        <v>37</v>
      </c>
      <c r="C312">
        <v>1</v>
      </c>
      <c r="F312" s="2">
        <v>44855</v>
      </c>
      <c r="G312" s="3">
        <v>0.37380787037037039</v>
      </c>
    </row>
    <row r="313" spans="1:19" x14ac:dyDescent="0.25">
      <c r="A313">
        <v>551</v>
      </c>
      <c r="B313">
        <v>37</v>
      </c>
      <c r="C313">
        <v>1</v>
      </c>
      <c r="D313">
        <v>0</v>
      </c>
      <c r="F313" s="2">
        <v>44855</v>
      </c>
      <c r="G313" s="3">
        <v>0.37384259259259256</v>
      </c>
      <c r="H313" t="s">
        <v>29</v>
      </c>
      <c r="I313" t="s">
        <v>31</v>
      </c>
      <c r="J313" t="s">
        <v>35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20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21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3</v>
      </c>
      <c r="R313">
        <f t="shared" ref="R313" si="622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3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561</v>
      </c>
      <c r="B314">
        <v>37</v>
      </c>
      <c r="C314">
        <v>1</v>
      </c>
      <c r="F314" s="2">
        <v>44855</v>
      </c>
      <c r="G314" s="3">
        <v>0.37395833333333334</v>
      </c>
    </row>
    <row r="315" spans="1:19" x14ac:dyDescent="0.25">
      <c r="A315">
        <v>564</v>
      </c>
      <c r="B315">
        <v>37</v>
      </c>
      <c r="C315">
        <v>1</v>
      </c>
      <c r="D315">
        <v>1</v>
      </c>
      <c r="F315" s="2">
        <v>44855</v>
      </c>
      <c r="G315" s="3">
        <v>0.37399305555555556</v>
      </c>
      <c r="H315" t="s">
        <v>34</v>
      </c>
      <c r="I315" t="s">
        <v>35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4</v>
      </c>
      <c r="P315">
        <f t="shared" ref="P315" si="624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5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6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7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575</v>
      </c>
      <c r="B316">
        <v>37</v>
      </c>
      <c r="C316">
        <v>1</v>
      </c>
      <c r="F316" s="2">
        <v>44855</v>
      </c>
      <c r="G316" s="3">
        <v>0.37412037037037038</v>
      </c>
    </row>
    <row r="317" spans="1:19" x14ac:dyDescent="0.25">
      <c r="A317">
        <v>580</v>
      </c>
      <c r="B317">
        <v>37</v>
      </c>
      <c r="C317">
        <v>1</v>
      </c>
      <c r="D317">
        <v>1</v>
      </c>
      <c r="F317" s="2">
        <v>44855</v>
      </c>
      <c r="G317" s="3">
        <v>0.37415509259259255</v>
      </c>
      <c r="H317" t="s">
        <v>35</v>
      </c>
      <c r="I317" t="s">
        <v>29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 t="shared" ref="P317" si="628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2</v>
      </c>
      <c r="Q317">
        <f t="shared" ref="Q317" si="629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30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31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590</v>
      </c>
      <c r="B318">
        <v>37</v>
      </c>
      <c r="C318">
        <v>1</v>
      </c>
      <c r="F318" s="2">
        <v>44855</v>
      </c>
      <c r="G318" s="3">
        <v>0.37428240740740742</v>
      </c>
    </row>
    <row r="319" spans="1:19" x14ac:dyDescent="0.25">
      <c r="A319">
        <v>594</v>
      </c>
      <c r="B319">
        <v>37</v>
      </c>
      <c r="C319">
        <v>1</v>
      </c>
      <c r="D319">
        <v>0</v>
      </c>
      <c r="F319" s="2">
        <v>44855</v>
      </c>
      <c r="G319" s="3">
        <v>0.37432870370370369</v>
      </c>
      <c r="H319" t="s">
        <v>29</v>
      </c>
      <c r="I319" t="s">
        <v>35</v>
      </c>
      <c r="J319" t="s">
        <v>34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32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3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 t="shared" ref="R319" si="634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5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601</v>
      </c>
      <c r="B320">
        <v>37</v>
      </c>
      <c r="C320">
        <v>1</v>
      </c>
      <c r="F320" s="2">
        <v>44855</v>
      </c>
      <c r="G320" s="3">
        <v>0.37445601851851856</v>
      </c>
    </row>
    <row r="321" spans="1:19" x14ac:dyDescent="0.25">
      <c r="A321">
        <v>604</v>
      </c>
      <c r="B321">
        <v>37</v>
      </c>
      <c r="C321">
        <v>1</v>
      </c>
      <c r="D321">
        <v>1</v>
      </c>
      <c r="F321" s="2">
        <v>44855</v>
      </c>
      <c r="G321" s="3">
        <v>0.3744791666666667</v>
      </c>
      <c r="H321" t="s">
        <v>34</v>
      </c>
      <c r="I321" t="s">
        <v>31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4</v>
      </c>
      <c r="P321">
        <f t="shared" ref="P321" si="636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7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8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9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608</v>
      </c>
      <c r="B322">
        <v>37</v>
      </c>
      <c r="C322">
        <v>2</v>
      </c>
      <c r="F322" s="2">
        <v>44855</v>
      </c>
      <c r="G322" s="3">
        <v>0.37458333333333332</v>
      </c>
    </row>
    <row r="323" spans="1:19" x14ac:dyDescent="0.25">
      <c r="A323">
        <v>616</v>
      </c>
      <c r="B323">
        <v>37</v>
      </c>
      <c r="C323">
        <v>2</v>
      </c>
      <c r="D323">
        <v>2</v>
      </c>
      <c r="F323" s="2">
        <v>44855</v>
      </c>
      <c r="G323" s="3">
        <v>0.37473379629629627</v>
      </c>
      <c r="H323" t="s">
        <v>38</v>
      </c>
      <c r="I323" t="s">
        <v>37</v>
      </c>
      <c r="J323" t="s">
        <v>40</v>
      </c>
      <c r="K323" t="s">
        <v>39</v>
      </c>
      <c r="L323" t="str">
        <f>IF(D323=0,H323,IF(D323=1,I323,IF(D323=2,J323,IF(D323=3,K323))))</f>
        <v>pen1.jpg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40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41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42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3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9</v>
      </c>
    </row>
    <row r="324" spans="1:19" hidden="1" x14ac:dyDescent="0.25">
      <c r="A324">
        <v>293</v>
      </c>
      <c r="B324">
        <v>38</v>
      </c>
      <c r="C324">
        <v>0</v>
      </c>
      <c r="F324" s="2">
        <v>44855</v>
      </c>
      <c r="G324" s="3">
        <v>0.37105324074074075</v>
      </c>
    </row>
    <row r="325" spans="1:19" x14ac:dyDescent="0.25">
      <c r="A325">
        <v>296</v>
      </c>
      <c r="B325">
        <v>38</v>
      </c>
      <c r="C325">
        <v>0</v>
      </c>
      <c r="D325">
        <v>0</v>
      </c>
      <c r="F325" s="2">
        <v>44855</v>
      </c>
      <c r="G325" s="3">
        <v>0.37108796296296293</v>
      </c>
      <c r="H325" t="s">
        <v>31</v>
      </c>
      <c r="I325" t="s">
        <v>35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4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5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6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7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304</v>
      </c>
      <c r="B326">
        <v>38</v>
      </c>
      <c r="C326">
        <v>0</v>
      </c>
      <c r="F326" s="2">
        <v>44855</v>
      </c>
      <c r="G326" s="3">
        <v>0.3712037037037037</v>
      </c>
    </row>
    <row r="327" spans="1:19" x14ac:dyDescent="0.25">
      <c r="A327">
        <v>308</v>
      </c>
      <c r="B327">
        <v>38</v>
      </c>
      <c r="C327">
        <v>0</v>
      </c>
      <c r="D327">
        <v>2</v>
      </c>
      <c r="F327" s="2">
        <v>44855</v>
      </c>
      <c r="G327" s="3">
        <v>0.37122685185185184</v>
      </c>
      <c r="H327" t="s">
        <v>29</v>
      </c>
      <c r="I327" t="s">
        <v>34</v>
      </c>
      <c r="J327" t="s">
        <v>31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2</v>
      </c>
      <c r="P327">
        <f t="shared" ref="P327" si="648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4</v>
      </c>
      <c r="Q327">
        <f t="shared" ref="Q327" si="649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1</v>
      </c>
      <c r="R327">
        <f t="shared" ref="R327" si="650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51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319</v>
      </c>
      <c r="B328">
        <v>38</v>
      </c>
      <c r="C328">
        <v>0</v>
      </c>
      <c r="F328" s="2">
        <v>44855</v>
      </c>
      <c r="G328" s="3">
        <v>0.37135416666666665</v>
      </c>
    </row>
    <row r="329" spans="1:19" x14ac:dyDescent="0.25">
      <c r="A329">
        <v>322</v>
      </c>
      <c r="B329">
        <v>38</v>
      </c>
      <c r="C329">
        <v>0</v>
      </c>
      <c r="D329">
        <v>2</v>
      </c>
      <c r="F329" s="2">
        <v>44855</v>
      </c>
      <c r="G329" s="3">
        <v>0.37137731481481479</v>
      </c>
      <c r="H329" t="s">
        <v>34</v>
      </c>
      <c r="I329" t="s">
        <v>35</v>
      </c>
      <c r="J329" t="s">
        <v>31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52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3</v>
      </c>
      <c r="Q329">
        <f t="shared" ref="Q329" si="653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1</v>
      </c>
      <c r="R329">
        <f t="shared" ref="R329" si="654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5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332</v>
      </c>
      <c r="B330">
        <v>38</v>
      </c>
      <c r="C330">
        <v>0</v>
      </c>
      <c r="F330" s="2">
        <v>44855</v>
      </c>
      <c r="G330" s="3">
        <v>0.37148148148148147</v>
      </c>
    </row>
    <row r="331" spans="1:19" x14ac:dyDescent="0.25">
      <c r="A331">
        <v>336</v>
      </c>
      <c r="B331">
        <v>38</v>
      </c>
      <c r="C331">
        <v>0</v>
      </c>
      <c r="D331">
        <v>1</v>
      </c>
      <c r="F331" s="2">
        <v>44855</v>
      </c>
      <c r="G331" s="3">
        <v>0.37152777777777773</v>
      </c>
      <c r="H331" t="s">
        <v>35</v>
      </c>
      <c r="I331" t="s">
        <v>29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3</v>
      </c>
      <c r="P331">
        <f t="shared" ref="P331" si="656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7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8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9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347</v>
      </c>
      <c r="B332">
        <v>38</v>
      </c>
      <c r="C332">
        <v>0</v>
      </c>
      <c r="F332" s="2">
        <v>44855</v>
      </c>
      <c r="G332" s="3">
        <v>0.37165509259259261</v>
      </c>
    </row>
    <row r="333" spans="1:19" x14ac:dyDescent="0.25">
      <c r="A333">
        <v>351</v>
      </c>
      <c r="B333">
        <v>38</v>
      </c>
      <c r="C333">
        <v>0</v>
      </c>
      <c r="D333">
        <v>1</v>
      </c>
      <c r="F333" s="2">
        <v>44855</v>
      </c>
      <c r="G333" s="3">
        <v>0.37168981481481483</v>
      </c>
      <c r="H333" t="s">
        <v>35</v>
      </c>
      <c r="I333" t="s">
        <v>29</v>
      </c>
      <c r="J333" t="s">
        <v>34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60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61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4</v>
      </c>
      <c r="R333">
        <f t="shared" ref="R333" si="662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3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363</v>
      </c>
      <c r="B334">
        <v>38</v>
      </c>
      <c r="C334">
        <v>0</v>
      </c>
      <c r="F334" s="2">
        <v>44855</v>
      </c>
      <c r="G334" s="3">
        <v>0.37181712962962959</v>
      </c>
    </row>
    <row r="335" spans="1:19" x14ac:dyDescent="0.25">
      <c r="A335">
        <v>365</v>
      </c>
      <c r="B335">
        <v>38</v>
      </c>
      <c r="C335">
        <v>0</v>
      </c>
      <c r="D335">
        <v>0</v>
      </c>
      <c r="F335" s="2">
        <v>44855</v>
      </c>
      <c r="G335" s="3">
        <v>0.37184027777777778</v>
      </c>
      <c r="H335" t="s">
        <v>31</v>
      </c>
      <c r="I335" t="s">
        <v>29</v>
      </c>
      <c r="J335" t="s">
        <v>35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4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5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3</v>
      </c>
      <c r="R335">
        <f t="shared" ref="R335" si="666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7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377</v>
      </c>
      <c r="B336">
        <v>38</v>
      </c>
      <c r="C336">
        <v>0</v>
      </c>
      <c r="F336" s="2">
        <v>44855</v>
      </c>
      <c r="G336" s="3">
        <v>0.37196759259259254</v>
      </c>
    </row>
    <row r="337" spans="1:19" x14ac:dyDescent="0.25">
      <c r="A337">
        <v>378</v>
      </c>
      <c r="B337">
        <v>38</v>
      </c>
      <c r="C337">
        <v>0</v>
      </c>
      <c r="D337">
        <v>0</v>
      </c>
      <c r="F337" s="2">
        <v>44855</v>
      </c>
      <c r="G337" s="3">
        <v>0.37199074074074073</v>
      </c>
      <c r="H337" t="s">
        <v>29</v>
      </c>
      <c r="I337" t="s">
        <v>34</v>
      </c>
      <c r="L337" t="str">
        <f>IF(D337=0,H337,IF(D337=1,I337,IF(D337=2,J337,IF(D337=3,K337))))</f>
        <v>red_pencil.jpg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2</v>
      </c>
      <c r="P337">
        <f t="shared" ref="P337" si="668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9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70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71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2</v>
      </c>
    </row>
    <row r="338" spans="1:19" hidden="1" x14ac:dyDescent="0.25">
      <c r="A338">
        <v>389</v>
      </c>
      <c r="B338">
        <v>38</v>
      </c>
      <c r="C338">
        <v>0</v>
      </c>
      <c r="F338" s="2">
        <v>44855</v>
      </c>
      <c r="G338" s="3">
        <v>0.37210648148148145</v>
      </c>
    </row>
    <row r="339" spans="1:19" x14ac:dyDescent="0.25">
      <c r="A339">
        <v>392</v>
      </c>
      <c r="B339">
        <v>38</v>
      </c>
      <c r="C339">
        <v>0</v>
      </c>
      <c r="D339">
        <v>0</v>
      </c>
      <c r="F339" s="2">
        <v>44855</v>
      </c>
      <c r="G339" s="3">
        <v>0.37212962962962964</v>
      </c>
      <c r="H339" t="s">
        <v>31</v>
      </c>
      <c r="I339" t="s">
        <v>29</v>
      </c>
      <c r="L339" t="str">
        <f>IF(D339=0,H339,IF(D339=1,I339,IF(D339=2,J339,IF(D339=3,K339))))</f>
        <v>yellow_pencil.jpg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1</v>
      </c>
      <c r="P339">
        <f t="shared" ref="P339" si="672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3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4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5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1</v>
      </c>
    </row>
    <row r="340" spans="1:19" hidden="1" x14ac:dyDescent="0.25">
      <c r="A340">
        <v>403</v>
      </c>
      <c r="B340">
        <v>38</v>
      </c>
      <c r="C340">
        <v>0</v>
      </c>
      <c r="F340" s="2">
        <v>44855</v>
      </c>
      <c r="G340" s="3">
        <v>0.37224537037037037</v>
      </c>
    </row>
    <row r="341" spans="1:19" x14ac:dyDescent="0.25">
      <c r="A341">
        <v>412</v>
      </c>
      <c r="B341">
        <v>38</v>
      </c>
      <c r="C341">
        <v>0</v>
      </c>
      <c r="D341">
        <v>0</v>
      </c>
      <c r="F341" s="2">
        <v>44855</v>
      </c>
      <c r="G341" s="3">
        <v>0.37232638888888886</v>
      </c>
      <c r="H341" t="s">
        <v>34</v>
      </c>
      <c r="I341" t="s">
        <v>35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6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7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8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9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420</v>
      </c>
      <c r="B342">
        <v>38</v>
      </c>
      <c r="C342">
        <v>0</v>
      </c>
      <c r="F342" s="2">
        <v>44855</v>
      </c>
      <c r="G342" s="3">
        <v>0.37243055555555554</v>
      </c>
    </row>
    <row r="343" spans="1:19" x14ac:dyDescent="0.25">
      <c r="A343">
        <v>426</v>
      </c>
      <c r="B343">
        <v>38</v>
      </c>
      <c r="C343">
        <v>0</v>
      </c>
      <c r="D343">
        <v>2</v>
      </c>
      <c r="F343" s="2">
        <v>44855</v>
      </c>
      <c r="G343" s="3">
        <v>0.37247685185185181</v>
      </c>
      <c r="H343" t="s">
        <v>29</v>
      </c>
      <c r="I343" t="s">
        <v>34</v>
      </c>
      <c r="J343" t="s">
        <v>31</v>
      </c>
      <c r="K343" t="s">
        <v>35</v>
      </c>
      <c r="L343" t="str">
        <f>IF(D343=0,H343,IF(D343=1,I343,IF(D343=2,J343,IF(D343=3,K343))))</f>
        <v>yellow_pencil.jpg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2</v>
      </c>
      <c r="P343">
        <f t="shared" ref="P343" si="680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81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1</v>
      </c>
      <c r="R343">
        <f t="shared" ref="R343" si="682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3</v>
      </c>
      <c r="S343">
        <f t="shared" ref="S343" si="683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1</v>
      </c>
    </row>
    <row r="344" spans="1:19" hidden="1" x14ac:dyDescent="0.25">
      <c r="A344">
        <v>435</v>
      </c>
      <c r="B344">
        <v>38</v>
      </c>
      <c r="C344">
        <v>0</v>
      </c>
      <c r="F344" s="2">
        <v>44855</v>
      </c>
      <c r="G344" s="3">
        <v>0.37260416666666668</v>
      </c>
    </row>
    <row r="345" spans="1:19" x14ac:dyDescent="0.25">
      <c r="A345">
        <v>440</v>
      </c>
      <c r="B345">
        <v>38</v>
      </c>
      <c r="C345">
        <v>0</v>
      </c>
      <c r="D345">
        <v>1</v>
      </c>
      <c r="F345" s="2">
        <v>44855</v>
      </c>
      <c r="G345" s="3">
        <v>0.37262731481481487</v>
      </c>
      <c r="H345" t="s">
        <v>34</v>
      </c>
      <c r="I345" t="s">
        <v>31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4</v>
      </c>
      <c r="P345">
        <f t="shared" ref="P345" si="684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5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6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7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449</v>
      </c>
      <c r="B346">
        <v>38</v>
      </c>
      <c r="C346">
        <v>1</v>
      </c>
      <c r="F346" s="2">
        <v>44855</v>
      </c>
      <c r="G346" s="3">
        <v>0.37274305555555554</v>
      </c>
    </row>
    <row r="347" spans="1:19" x14ac:dyDescent="0.25">
      <c r="A347">
        <v>460</v>
      </c>
      <c r="B347">
        <v>38</v>
      </c>
      <c r="C347">
        <v>1</v>
      </c>
      <c r="D347">
        <v>0</v>
      </c>
      <c r="F347" s="2">
        <v>44855</v>
      </c>
      <c r="G347" s="3">
        <v>0.37282407407407409</v>
      </c>
      <c r="H347" t="s">
        <v>33</v>
      </c>
      <c r="I347" t="s">
        <v>36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5</v>
      </c>
      <c r="P347">
        <f t="shared" ref="P347" si="688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9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90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91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467</v>
      </c>
      <c r="B348">
        <v>38</v>
      </c>
      <c r="C348">
        <v>1</v>
      </c>
      <c r="F348" s="2">
        <v>44855</v>
      </c>
      <c r="G348" s="3">
        <v>0.37292824074074077</v>
      </c>
    </row>
    <row r="349" spans="1:19" x14ac:dyDescent="0.25">
      <c r="A349">
        <v>471</v>
      </c>
      <c r="B349">
        <v>38</v>
      </c>
      <c r="C349">
        <v>1</v>
      </c>
      <c r="D349">
        <v>0</v>
      </c>
      <c r="F349" s="2">
        <v>44855</v>
      </c>
      <c r="G349" s="3">
        <v>0.3729513888888889</v>
      </c>
      <c r="H349" t="s">
        <v>33</v>
      </c>
      <c r="I349" t="s">
        <v>32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92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6</v>
      </c>
      <c r="Q349">
        <f t="shared" ref="Q349" si="693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4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5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479</v>
      </c>
      <c r="B350">
        <v>38</v>
      </c>
      <c r="C350">
        <v>1</v>
      </c>
      <c r="F350" s="2">
        <v>44855</v>
      </c>
      <c r="G350" s="3">
        <v>0.37306712962962968</v>
      </c>
    </row>
    <row r="351" spans="1:19" x14ac:dyDescent="0.25">
      <c r="A351">
        <v>487</v>
      </c>
      <c r="B351">
        <v>38</v>
      </c>
      <c r="C351">
        <v>1</v>
      </c>
      <c r="D351">
        <v>1</v>
      </c>
      <c r="F351" s="2">
        <v>44855</v>
      </c>
      <c r="G351" s="3">
        <v>0.37312499999999998</v>
      </c>
      <c r="H351" t="s">
        <v>36</v>
      </c>
      <c r="I351" t="s">
        <v>32</v>
      </c>
      <c r="J351" t="s">
        <v>30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8</v>
      </c>
      <c r="P351">
        <f t="shared" ref="P351" si="696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6</v>
      </c>
      <c r="Q351">
        <f t="shared" ref="Q351" si="697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7</v>
      </c>
      <c r="R351">
        <f t="shared" ref="R351" si="698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9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497</v>
      </c>
      <c r="B352">
        <v>38</v>
      </c>
      <c r="C352">
        <v>1</v>
      </c>
      <c r="F352" s="2">
        <v>44855</v>
      </c>
      <c r="G352" s="3">
        <v>0.3732523148148148</v>
      </c>
    </row>
    <row r="353" spans="1:19" x14ac:dyDescent="0.25">
      <c r="A353">
        <v>500</v>
      </c>
      <c r="B353">
        <v>38</v>
      </c>
      <c r="C353">
        <v>1</v>
      </c>
      <c r="D353">
        <v>0</v>
      </c>
      <c r="F353" s="2">
        <v>44855</v>
      </c>
      <c r="G353" s="3">
        <v>0.37328703703703708</v>
      </c>
      <c r="H353" t="s">
        <v>32</v>
      </c>
      <c r="I353" t="s">
        <v>36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700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8</v>
      </c>
      <c r="Q353">
        <f t="shared" ref="Q353" si="701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702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3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509</v>
      </c>
      <c r="B354">
        <v>38</v>
      </c>
      <c r="C354">
        <v>1</v>
      </c>
      <c r="F354" s="2">
        <v>44855</v>
      </c>
      <c r="G354" s="3">
        <v>0.37339120370370371</v>
      </c>
    </row>
    <row r="355" spans="1:19" x14ac:dyDescent="0.25">
      <c r="A355">
        <v>516</v>
      </c>
      <c r="B355">
        <v>38</v>
      </c>
      <c r="C355">
        <v>1</v>
      </c>
      <c r="D355">
        <v>1</v>
      </c>
      <c r="F355" s="2">
        <v>44855</v>
      </c>
      <c r="G355" s="3">
        <v>0.37347222222222221</v>
      </c>
      <c r="H355" t="s">
        <v>36</v>
      </c>
      <c r="I355" t="s">
        <v>33</v>
      </c>
      <c r="J355" t="s">
        <v>30</v>
      </c>
      <c r="K355" t="s">
        <v>32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4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5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7</v>
      </c>
      <c r="R355">
        <f t="shared" ref="R355" si="706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6</v>
      </c>
      <c r="S355">
        <f t="shared" ref="S355" si="707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527</v>
      </c>
      <c r="B356">
        <v>38</v>
      </c>
      <c r="C356">
        <v>1</v>
      </c>
      <c r="F356" s="2">
        <v>44855</v>
      </c>
      <c r="G356" s="3">
        <v>0.37358796296296298</v>
      </c>
    </row>
    <row r="357" spans="1:19" x14ac:dyDescent="0.25">
      <c r="A357">
        <v>532</v>
      </c>
      <c r="B357">
        <v>38</v>
      </c>
      <c r="C357">
        <v>1</v>
      </c>
      <c r="D357">
        <v>1</v>
      </c>
      <c r="F357" s="2">
        <v>44855</v>
      </c>
      <c r="G357" s="3">
        <v>0.37363425925925925</v>
      </c>
      <c r="H357" t="s">
        <v>30</v>
      </c>
      <c r="I357" t="s">
        <v>32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8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9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10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11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543</v>
      </c>
      <c r="B358">
        <v>38</v>
      </c>
      <c r="C358">
        <v>1</v>
      </c>
      <c r="F358" s="2">
        <v>44855</v>
      </c>
      <c r="G358" s="3">
        <v>0.37375000000000003</v>
      </c>
    </row>
    <row r="359" spans="1:19" x14ac:dyDescent="0.25">
      <c r="A359">
        <v>547</v>
      </c>
      <c r="B359">
        <v>38</v>
      </c>
      <c r="C359">
        <v>1</v>
      </c>
      <c r="D359">
        <v>2</v>
      </c>
      <c r="F359" s="2">
        <v>44855</v>
      </c>
      <c r="G359" s="3">
        <v>0.37379629629629635</v>
      </c>
      <c r="H359" t="s">
        <v>32</v>
      </c>
      <c r="I359" t="s">
        <v>36</v>
      </c>
      <c r="J359" t="s">
        <v>33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12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3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5</v>
      </c>
      <c r="R359">
        <f t="shared" ref="R359" si="714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5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559</v>
      </c>
      <c r="B360">
        <v>38</v>
      </c>
      <c r="C360">
        <v>1</v>
      </c>
      <c r="F360" s="2">
        <v>44855</v>
      </c>
      <c r="G360" s="3">
        <v>0.37392361111111111</v>
      </c>
    </row>
    <row r="361" spans="1:19" x14ac:dyDescent="0.25">
      <c r="A361">
        <v>562</v>
      </c>
      <c r="B361">
        <v>38</v>
      </c>
      <c r="C361">
        <v>1</v>
      </c>
      <c r="D361">
        <v>2</v>
      </c>
      <c r="F361" s="2">
        <v>44855</v>
      </c>
      <c r="G361" s="3">
        <v>0.37396990740740743</v>
      </c>
      <c r="H361" t="s">
        <v>36</v>
      </c>
      <c r="I361" t="s">
        <v>30</v>
      </c>
      <c r="J361" t="s">
        <v>33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6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7</v>
      </c>
      <c r="Q361">
        <f t="shared" ref="Q361" si="717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5</v>
      </c>
      <c r="R361">
        <f t="shared" ref="R361" si="718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9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572</v>
      </c>
      <c r="B362">
        <v>38</v>
      </c>
      <c r="C362">
        <v>1</v>
      </c>
      <c r="F362" s="2">
        <v>44855</v>
      </c>
      <c r="G362" s="3">
        <v>0.3740856481481481</v>
      </c>
    </row>
    <row r="363" spans="1:19" x14ac:dyDescent="0.25">
      <c r="A363">
        <v>576</v>
      </c>
      <c r="B363">
        <v>38</v>
      </c>
      <c r="C363">
        <v>1</v>
      </c>
      <c r="D363">
        <v>2</v>
      </c>
      <c r="F363" s="2">
        <v>44855</v>
      </c>
      <c r="G363" s="3">
        <v>0.37413194444444442</v>
      </c>
      <c r="H363" t="s">
        <v>32</v>
      </c>
      <c r="I363" t="s">
        <v>30</v>
      </c>
      <c r="J363" t="s">
        <v>33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6</v>
      </c>
      <c r="P363">
        <f t="shared" ref="P363" si="720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21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5</v>
      </c>
      <c r="R363">
        <f t="shared" ref="R363" si="722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3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587</v>
      </c>
      <c r="B364">
        <v>38</v>
      </c>
      <c r="C364">
        <v>1</v>
      </c>
      <c r="F364" s="2">
        <v>44855</v>
      </c>
      <c r="G364" s="3">
        <v>0.37425925925925929</v>
      </c>
    </row>
    <row r="365" spans="1:19" x14ac:dyDescent="0.25">
      <c r="A365">
        <v>592</v>
      </c>
      <c r="B365">
        <v>38</v>
      </c>
      <c r="C365">
        <v>1</v>
      </c>
      <c r="D365">
        <v>1</v>
      </c>
      <c r="F365" s="2">
        <v>44855</v>
      </c>
      <c r="G365" s="3">
        <v>0.37432870370370369</v>
      </c>
      <c r="H365" t="s">
        <v>30</v>
      </c>
      <c r="I365" t="s">
        <v>36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7</v>
      </c>
      <c r="P365">
        <f t="shared" ref="P365" si="724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8</v>
      </c>
      <c r="Q365">
        <f t="shared" ref="Q365" si="725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6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7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599</v>
      </c>
      <c r="B366">
        <v>38</v>
      </c>
      <c r="C366">
        <v>1</v>
      </c>
      <c r="F366" s="2">
        <v>44855</v>
      </c>
      <c r="G366" s="3">
        <v>0.37444444444444441</v>
      </c>
    </row>
    <row r="367" spans="1:19" x14ac:dyDescent="0.25">
      <c r="A367">
        <v>605</v>
      </c>
      <c r="B367">
        <v>38</v>
      </c>
      <c r="C367">
        <v>1</v>
      </c>
      <c r="D367">
        <v>0</v>
      </c>
      <c r="F367" s="2">
        <v>44855</v>
      </c>
      <c r="G367" s="3">
        <v>0.3744791666666667</v>
      </c>
      <c r="H367" t="s">
        <v>33</v>
      </c>
      <c r="I367" t="s">
        <v>30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8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7</v>
      </c>
      <c r="Q367">
        <f t="shared" ref="Q367" si="729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30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31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609</v>
      </c>
      <c r="B368">
        <v>38</v>
      </c>
      <c r="C368">
        <v>2</v>
      </c>
      <c r="F368" s="2">
        <v>44855</v>
      </c>
      <c r="G368" s="3">
        <v>0.37458333333333332</v>
      </c>
    </row>
    <row r="369" spans="1:19" x14ac:dyDescent="0.25">
      <c r="A369">
        <v>613</v>
      </c>
      <c r="B369">
        <v>38</v>
      </c>
      <c r="C369">
        <v>2</v>
      </c>
      <c r="D369">
        <v>1</v>
      </c>
      <c r="F369" s="2">
        <v>44855</v>
      </c>
      <c r="G369" s="3">
        <v>0.37467592592592597</v>
      </c>
      <c r="H369" t="s">
        <v>38</v>
      </c>
      <c r="I369" t="s">
        <v>39</v>
      </c>
      <c r="J369" t="s">
        <v>37</v>
      </c>
      <c r="K369" t="s">
        <v>40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32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3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4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5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</sheetData>
  <autoFilter ref="A1:S369" xr:uid="{95E7EA7A-26D6-4CD1-BD66-F30390BF9D88}">
    <filterColumn colId="3">
      <customFilters>
        <customFilter operator="notEqual" val=" "/>
      </customFilters>
    </filterColumn>
    <sortState ref="A2:S36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3FAD-F852-4F55-A97B-6E59B5D96408}">
  <sheetPr filterMode="1"/>
  <dimension ref="A1:G129"/>
  <sheetViews>
    <sheetView workbookViewId="0">
      <selection activeCell="B3" sqref="B3:B115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12</v>
      </c>
      <c r="C1" t="s">
        <v>16</v>
      </c>
      <c r="D1" t="s">
        <v>17</v>
      </c>
      <c r="E1" t="s">
        <v>44</v>
      </c>
      <c r="F1" t="s">
        <v>8</v>
      </c>
    </row>
    <row r="2" spans="1:7" hidden="1" x14ac:dyDescent="0.25">
      <c r="A2">
        <v>113</v>
      </c>
      <c r="B2">
        <v>30</v>
      </c>
      <c r="C2">
        <v>1</v>
      </c>
      <c r="F2" s="2">
        <v>44855</v>
      </c>
      <c r="G2" s="3">
        <v>0.37724537037037037</v>
      </c>
    </row>
    <row r="3" spans="1:7" x14ac:dyDescent="0.25">
      <c r="A3">
        <v>114</v>
      </c>
      <c r="B3">
        <v>30</v>
      </c>
      <c r="C3">
        <v>1</v>
      </c>
      <c r="D3">
        <v>1</v>
      </c>
      <c r="E3">
        <v>1</v>
      </c>
      <c r="F3" s="2">
        <v>44855</v>
      </c>
      <c r="G3" s="3">
        <v>0.37746527777777777</v>
      </c>
    </row>
    <row r="4" spans="1:7" hidden="1" x14ac:dyDescent="0.25">
      <c r="A4">
        <v>115</v>
      </c>
      <c r="B4">
        <v>30</v>
      </c>
      <c r="C4">
        <v>2</v>
      </c>
      <c r="F4" s="2">
        <v>44855</v>
      </c>
      <c r="G4" s="3">
        <v>0.37746527777777777</v>
      </c>
    </row>
    <row r="5" spans="1:7" hidden="1" x14ac:dyDescent="0.25">
      <c r="A5">
        <v>116</v>
      </c>
      <c r="B5">
        <v>30</v>
      </c>
      <c r="C5">
        <v>2</v>
      </c>
      <c r="D5">
        <v>3</v>
      </c>
      <c r="E5">
        <v>2</v>
      </c>
      <c r="F5" s="2">
        <v>44855</v>
      </c>
      <c r="G5" s="3">
        <v>0.37754629629629632</v>
      </c>
    </row>
    <row r="6" spans="1:7" hidden="1" x14ac:dyDescent="0.25">
      <c r="A6">
        <v>117</v>
      </c>
      <c r="B6">
        <v>30</v>
      </c>
      <c r="C6">
        <v>3</v>
      </c>
      <c r="F6" s="2">
        <v>44855</v>
      </c>
      <c r="G6" s="3">
        <v>0.37755787037037036</v>
      </c>
    </row>
    <row r="7" spans="1:7" hidden="1" x14ac:dyDescent="0.25">
      <c r="A7">
        <v>118</v>
      </c>
      <c r="B7">
        <v>30</v>
      </c>
      <c r="C7">
        <v>3</v>
      </c>
      <c r="D7">
        <v>3</v>
      </c>
      <c r="E7">
        <v>3</v>
      </c>
      <c r="F7" s="2">
        <v>44855</v>
      </c>
      <c r="G7" s="3">
        <v>0.37769675925925927</v>
      </c>
    </row>
    <row r="8" spans="1:7" hidden="1" x14ac:dyDescent="0.25">
      <c r="A8">
        <v>119</v>
      </c>
      <c r="B8">
        <v>30</v>
      </c>
      <c r="C8">
        <v>4</v>
      </c>
      <c r="F8" s="2">
        <v>44855</v>
      </c>
      <c r="G8" s="3">
        <v>0.37769675925925927</v>
      </c>
    </row>
    <row r="9" spans="1:7" hidden="1" x14ac:dyDescent="0.25">
      <c r="A9">
        <v>120</v>
      </c>
      <c r="B9">
        <v>30</v>
      </c>
      <c r="C9">
        <v>4</v>
      </c>
      <c r="D9">
        <v>1</v>
      </c>
      <c r="E9">
        <v>4</v>
      </c>
      <c r="F9" s="2">
        <v>44855</v>
      </c>
      <c r="G9" s="3">
        <v>0.37784722222222222</v>
      </c>
    </row>
    <row r="10" spans="1:7" hidden="1" x14ac:dyDescent="0.25">
      <c r="A10">
        <v>121</v>
      </c>
      <c r="B10">
        <v>30</v>
      </c>
      <c r="C10">
        <v>5</v>
      </c>
      <c r="F10" s="2">
        <v>44855</v>
      </c>
      <c r="G10" s="3">
        <v>0.37785879629629626</v>
      </c>
    </row>
    <row r="11" spans="1:7" hidden="1" x14ac:dyDescent="0.25">
      <c r="A11">
        <v>122</v>
      </c>
      <c r="B11">
        <v>30</v>
      </c>
      <c r="C11">
        <v>5</v>
      </c>
      <c r="D11">
        <v>4</v>
      </c>
      <c r="E11">
        <v>5</v>
      </c>
      <c r="F11" s="2">
        <v>44855</v>
      </c>
      <c r="G11" s="3">
        <v>0.37793981481481481</v>
      </c>
    </row>
    <row r="12" spans="1:7" hidden="1" x14ac:dyDescent="0.25">
      <c r="A12">
        <v>123</v>
      </c>
      <c r="B12">
        <v>30</v>
      </c>
      <c r="C12">
        <v>6</v>
      </c>
      <c r="F12" s="2">
        <v>44855</v>
      </c>
      <c r="G12" s="3">
        <v>0.37793981481481481</v>
      </c>
    </row>
    <row r="13" spans="1:7" hidden="1" x14ac:dyDescent="0.25">
      <c r="A13">
        <v>124</v>
      </c>
      <c r="B13">
        <v>30</v>
      </c>
      <c r="C13">
        <v>6</v>
      </c>
      <c r="D13">
        <v>4</v>
      </c>
      <c r="E13">
        <v>6</v>
      </c>
      <c r="F13" s="2">
        <v>44855</v>
      </c>
      <c r="G13" s="3">
        <v>0.37800925925925927</v>
      </c>
    </row>
    <row r="14" spans="1:7" hidden="1" x14ac:dyDescent="0.25">
      <c r="A14">
        <v>125</v>
      </c>
      <c r="B14">
        <v>30</v>
      </c>
      <c r="C14">
        <v>7</v>
      </c>
      <c r="F14" s="2">
        <v>44855</v>
      </c>
      <c r="G14" s="3">
        <v>0.37800925925925927</v>
      </c>
    </row>
    <row r="15" spans="1:7" hidden="1" x14ac:dyDescent="0.25">
      <c r="A15">
        <v>126</v>
      </c>
      <c r="B15">
        <v>30</v>
      </c>
      <c r="C15">
        <v>7</v>
      </c>
      <c r="D15">
        <v>3</v>
      </c>
      <c r="E15">
        <v>7</v>
      </c>
      <c r="F15" s="2">
        <v>44855</v>
      </c>
      <c r="G15" s="3">
        <v>0.37806712962962963</v>
      </c>
    </row>
    <row r="16" spans="1:7" hidden="1" x14ac:dyDescent="0.25">
      <c r="A16">
        <v>127</v>
      </c>
      <c r="B16">
        <v>30</v>
      </c>
      <c r="C16">
        <v>8</v>
      </c>
      <c r="F16" s="2">
        <v>44855</v>
      </c>
      <c r="G16" s="3">
        <v>0.37806712962962963</v>
      </c>
    </row>
    <row r="17" spans="1:7" hidden="1" x14ac:dyDescent="0.25">
      <c r="A17">
        <v>128</v>
      </c>
      <c r="B17">
        <v>30</v>
      </c>
      <c r="C17">
        <v>8</v>
      </c>
      <c r="D17">
        <v>4</v>
      </c>
      <c r="E17">
        <v>8</v>
      </c>
      <c r="F17" s="2">
        <v>44855</v>
      </c>
      <c r="G17" s="3">
        <v>0.37821759259259258</v>
      </c>
    </row>
    <row r="18" spans="1:7" hidden="1" x14ac:dyDescent="0.25">
      <c r="A18">
        <v>36</v>
      </c>
      <c r="B18">
        <v>31</v>
      </c>
      <c r="C18">
        <v>1</v>
      </c>
      <c r="F18" s="2">
        <v>44855</v>
      </c>
      <c r="G18" s="3">
        <v>0.37608796296296299</v>
      </c>
    </row>
    <row r="19" spans="1:7" x14ac:dyDescent="0.25">
      <c r="A19">
        <v>44</v>
      </c>
      <c r="B19">
        <v>31</v>
      </c>
      <c r="C19">
        <v>1</v>
      </c>
      <c r="D19">
        <v>1</v>
      </c>
      <c r="E19">
        <v>1</v>
      </c>
      <c r="F19" s="2">
        <v>44855</v>
      </c>
      <c r="G19" s="3">
        <v>0.37630787037037039</v>
      </c>
    </row>
    <row r="20" spans="1:7" hidden="1" x14ac:dyDescent="0.25">
      <c r="A20">
        <v>45</v>
      </c>
      <c r="B20">
        <v>31</v>
      </c>
      <c r="C20">
        <v>2</v>
      </c>
      <c r="F20" s="2">
        <v>44855</v>
      </c>
      <c r="G20" s="3">
        <v>0.37630787037037039</v>
      </c>
    </row>
    <row r="21" spans="1:7" hidden="1" x14ac:dyDescent="0.25">
      <c r="A21">
        <v>50</v>
      </c>
      <c r="B21">
        <v>31</v>
      </c>
      <c r="C21">
        <v>2</v>
      </c>
      <c r="D21">
        <v>1</v>
      </c>
      <c r="E21">
        <v>2</v>
      </c>
      <c r="F21" s="2">
        <v>44855</v>
      </c>
      <c r="G21" s="3">
        <v>0.37637731481481485</v>
      </c>
    </row>
    <row r="22" spans="1:7" hidden="1" x14ac:dyDescent="0.25">
      <c r="A22">
        <v>51</v>
      </c>
      <c r="B22">
        <v>31</v>
      </c>
      <c r="C22">
        <v>3</v>
      </c>
      <c r="F22" s="2">
        <v>44855</v>
      </c>
      <c r="G22" s="3">
        <v>0.37637731481481485</v>
      </c>
    </row>
    <row r="23" spans="1:7" hidden="1" x14ac:dyDescent="0.25">
      <c r="A23">
        <v>58</v>
      </c>
      <c r="B23">
        <v>31</v>
      </c>
      <c r="C23">
        <v>3</v>
      </c>
      <c r="D23">
        <v>1</v>
      </c>
      <c r="E23">
        <v>3</v>
      </c>
      <c r="F23" s="2">
        <v>44855</v>
      </c>
      <c r="G23" s="3">
        <v>0.37643518518518521</v>
      </c>
    </row>
    <row r="24" spans="1:7" hidden="1" x14ac:dyDescent="0.25">
      <c r="A24">
        <v>59</v>
      </c>
      <c r="B24">
        <v>31</v>
      </c>
      <c r="C24">
        <v>4</v>
      </c>
      <c r="F24" s="2">
        <v>44855</v>
      </c>
      <c r="G24" s="3">
        <v>0.37643518518518521</v>
      </c>
    </row>
    <row r="25" spans="1:7" hidden="1" x14ac:dyDescent="0.25">
      <c r="A25">
        <v>85</v>
      </c>
      <c r="B25">
        <v>31</v>
      </c>
      <c r="C25">
        <v>4</v>
      </c>
      <c r="D25">
        <v>1</v>
      </c>
      <c r="E25">
        <v>4</v>
      </c>
      <c r="F25" s="2">
        <v>44855</v>
      </c>
      <c r="G25" s="3">
        <v>0.37668981481481478</v>
      </c>
    </row>
    <row r="26" spans="1:7" hidden="1" x14ac:dyDescent="0.25">
      <c r="A26">
        <v>86</v>
      </c>
      <c r="B26">
        <v>31</v>
      </c>
      <c r="C26">
        <v>5</v>
      </c>
      <c r="F26" s="2">
        <v>44855</v>
      </c>
      <c r="G26" s="3">
        <v>0.37668981481481478</v>
      </c>
    </row>
    <row r="27" spans="1:7" hidden="1" x14ac:dyDescent="0.25">
      <c r="A27">
        <v>93</v>
      </c>
      <c r="B27">
        <v>31</v>
      </c>
      <c r="C27">
        <v>5</v>
      </c>
      <c r="D27">
        <v>3</v>
      </c>
      <c r="E27">
        <v>5</v>
      </c>
      <c r="F27" s="2">
        <v>44855</v>
      </c>
      <c r="G27" s="3">
        <v>0.37675925925925924</v>
      </c>
    </row>
    <row r="28" spans="1:7" hidden="1" x14ac:dyDescent="0.25">
      <c r="A28">
        <v>94</v>
      </c>
      <c r="B28">
        <v>31</v>
      </c>
      <c r="C28">
        <v>6</v>
      </c>
      <c r="F28" s="2">
        <v>44855</v>
      </c>
      <c r="G28" s="3">
        <v>0.37675925925925924</v>
      </c>
    </row>
    <row r="29" spans="1:7" hidden="1" x14ac:dyDescent="0.25">
      <c r="A29">
        <v>95</v>
      </c>
      <c r="B29">
        <v>31</v>
      </c>
      <c r="C29">
        <v>6</v>
      </c>
      <c r="D29">
        <v>2</v>
      </c>
      <c r="E29">
        <v>6</v>
      </c>
      <c r="F29" s="2">
        <v>44855</v>
      </c>
      <c r="G29" s="3">
        <v>0.37681712962962965</v>
      </c>
    </row>
    <row r="30" spans="1:7" hidden="1" x14ac:dyDescent="0.25">
      <c r="A30">
        <v>96</v>
      </c>
      <c r="B30">
        <v>31</v>
      </c>
      <c r="C30">
        <v>7</v>
      </c>
      <c r="F30" s="2">
        <v>44855</v>
      </c>
      <c r="G30" s="3">
        <v>0.37681712962962965</v>
      </c>
    </row>
    <row r="31" spans="1:7" hidden="1" x14ac:dyDescent="0.25">
      <c r="A31">
        <v>105</v>
      </c>
      <c r="B31">
        <v>31</v>
      </c>
      <c r="C31">
        <v>7</v>
      </c>
      <c r="D31">
        <v>4</v>
      </c>
      <c r="E31">
        <v>7</v>
      </c>
      <c r="F31" s="2">
        <v>44855</v>
      </c>
      <c r="G31" s="3">
        <v>0.37688657407407411</v>
      </c>
    </row>
    <row r="32" spans="1:7" hidden="1" x14ac:dyDescent="0.25">
      <c r="A32">
        <v>106</v>
      </c>
      <c r="B32">
        <v>31</v>
      </c>
      <c r="C32">
        <v>8</v>
      </c>
      <c r="F32" s="2">
        <v>44855</v>
      </c>
      <c r="G32" s="3">
        <v>0.37688657407407411</v>
      </c>
    </row>
    <row r="33" spans="1:7" hidden="1" x14ac:dyDescent="0.25">
      <c r="A33">
        <v>110</v>
      </c>
      <c r="B33">
        <v>31</v>
      </c>
      <c r="C33">
        <v>8</v>
      </c>
      <c r="D33">
        <v>2</v>
      </c>
      <c r="E33">
        <v>8</v>
      </c>
      <c r="F33" s="2">
        <v>44855</v>
      </c>
      <c r="G33" s="3">
        <v>0.37700231481481478</v>
      </c>
    </row>
    <row r="34" spans="1:7" hidden="1" x14ac:dyDescent="0.25">
      <c r="A34">
        <v>1</v>
      </c>
      <c r="B34">
        <v>33</v>
      </c>
      <c r="C34">
        <v>1</v>
      </c>
      <c r="F34" s="2">
        <v>44855</v>
      </c>
      <c r="G34" s="3">
        <v>0.3747800925925926</v>
      </c>
    </row>
    <row r="35" spans="1:7" x14ac:dyDescent="0.25">
      <c r="A35">
        <v>2</v>
      </c>
      <c r="B35">
        <v>33</v>
      </c>
      <c r="C35">
        <v>1</v>
      </c>
      <c r="D35">
        <v>1</v>
      </c>
      <c r="E35">
        <v>1</v>
      </c>
      <c r="F35" s="2">
        <v>44855</v>
      </c>
      <c r="G35" s="3">
        <v>0.37491898148148151</v>
      </c>
    </row>
    <row r="36" spans="1:7" hidden="1" x14ac:dyDescent="0.25">
      <c r="A36">
        <v>3</v>
      </c>
      <c r="B36">
        <v>33</v>
      </c>
      <c r="C36">
        <v>2</v>
      </c>
      <c r="F36" s="2">
        <v>44855</v>
      </c>
      <c r="G36" s="3">
        <v>0.37491898148148151</v>
      </c>
    </row>
    <row r="37" spans="1:7" hidden="1" x14ac:dyDescent="0.25">
      <c r="A37">
        <v>4</v>
      </c>
      <c r="B37">
        <v>33</v>
      </c>
      <c r="C37">
        <v>2</v>
      </c>
      <c r="D37">
        <v>5</v>
      </c>
      <c r="E37">
        <v>2</v>
      </c>
      <c r="F37" s="2">
        <v>44855</v>
      </c>
      <c r="G37" s="3">
        <v>0.37504629629629632</v>
      </c>
    </row>
    <row r="38" spans="1:7" hidden="1" x14ac:dyDescent="0.25">
      <c r="A38">
        <v>5</v>
      </c>
      <c r="B38">
        <v>33</v>
      </c>
      <c r="C38">
        <v>3</v>
      </c>
      <c r="F38" s="2">
        <v>44855</v>
      </c>
      <c r="G38" s="3">
        <v>0.37504629629629632</v>
      </c>
    </row>
    <row r="39" spans="1:7" hidden="1" x14ac:dyDescent="0.25">
      <c r="A39">
        <v>6</v>
      </c>
      <c r="B39">
        <v>33</v>
      </c>
      <c r="C39">
        <v>3</v>
      </c>
      <c r="D39">
        <v>5</v>
      </c>
      <c r="E39">
        <v>3</v>
      </c>
      <c r="F39" s="2">
        <v>44855</v>
      </c>
      <c r="G39" s="3">
        <v>0.37509259259259259</v>
      </c>
    </row>
    <row r="40" spans="1:7" hidden="1" x14ac:dyDescent="0.25">
      <c r="A40">
        <v>7</v>
      </c>
      <c r="B40">
        <v>33</v>
      </c>
      <c r="C40">
        <v>4</v>
      </c>
      <c r="F40" s="2">
        <v>44855</v>
      </c>
      <c r="G40" s="3">
        <v>0.37510416666666663</v>
      </c>
    </row>
    <row r="41" spans="1:7" hidden="1" x14ac:dyDescent="0.25">
      <c r="A41">
        <v>8</v>
      </c>
      <c r="B41">
        <v>33</v>
      </c>
      <c r="C41">
        <v>4</v>
      </c>
      <c r="D41">
        <v>1</v>
      </c>
      <c r="E41">
        <v>4</v>
      </c>
      <c r="F41" s="2">
        <v>44855</v>
      </c>
      <c r="G41" s="3">
        <v>0.37520833333333337</v>
      </c>
    </row>
    <row r="42" spans="1:7" hidden="1" x14ac:dyDescent="0.25">
      <c r="A42">
        <v>9</v>
      </c>
      <c r="B42">
        <v>33</v>
      </c>
      <c r="C42">
        <v>5</v>
      </c>
      <c r="F42" s="2">
        <v>44855</v>
      </c>
      <c r="G42" s="3">
        <v>0.37520833333333337</v>
      </c>
    </row>
    <row r="43" spans="1:7" hidden="1" x14ac:dyDescent="0.25">
      <c r="A43">
        <v>10</v>
      </c>
      <c r="B43">
        <v>33</v>
      </c>
      <c r="C43">
        <v>5</v>
      </c>
      <c r="D43">
        <v>0</v>
      </c>
      <c r="E43">
        <v>5</v>
      </c>
      <c r="F43" s="2">
        <v>44855</v>
      </c>
      <c r="G43" s="3">
        <v>0.37532407407407403</v>
      </c>
    </row>
    <row r="44" spans="1:7" hidden="1" x14ac:dyDescent="0.25">
      <c r="A44">
        <v>11</v>
      </c>
      <c r="B44">
        <v>33</v>
      </c>
      <c r="C44">
        <v>6</v>
      </c>
      <c r="F44" s="2">
        <v>44855</v>
      </c>
      <c r="G44" s="3">
        <v>0.37532407407407403</v>
      </c>
    </row>
    <row r="45" spans="1:7" hidden="1" x14ac:dyDescent="0.25">
      <c r="A45">
        <v>13</v>
      </c>
      <c r="B45">
        <v>33</v>
      </c>
      <c r="C45">
        <v>6</v>
      </c>
      <c r="D45">
        <v>3</v>
      </c>
      <c r="E45">
        <v>6</v>
      </c>
      <c r="F45" s="2">
        <v>44855</v>
      </c>
      <c r="G45" s="3">
        <v>0.37539351851851849</v>
      </c>
    </row>
    <row r="46" spans="1:7" hidden="1" x14ac:dyDescent="0.25">
      <c r="A46">
        <v>14</v>
      </c>
      <c r="B46">
        <v>33</v>
      </c>
      <c r="C46">
        <v>7</v>
      </c>
      <c r="F46" s="2">
        <v>44855</v>
      </c>
      <c r="G46" s="3">
        <v>0.37539351851851849</v>
      </c>
    </row>
    <row r="47" spans="1:7" hidden="1" x14ac:dyDescent="0.25">
      <c r="A47">
        <v>15</v>
      </c>
      <c r="B47">
        <v>33</v>
      </c>
      <c r="C47">
        <v>7</v>
      </c>
      <c r="D47">
        <v>0</v>
      </c>
      <c r="E47">
        <v>7</v>
      </c>
      <c r="F47" s="2">
        <v>44855</v>
      </c>
      <c r="G47" s="3">
        <v>0.37547453703703698</v>
      </c>
    </row>
    <row r="48" spans="1:7" hidden="1" x14ac:dyDescent="0.25">
      <c r="A48">
        <v>16</v>
      </c>
      <c r="B48">
        <v>33</v>
      </c>
      <c r="C48">
        <v>8</v>
      </c>
      <c r="F48" s="2">
        <v>44855</v>
      </c>
      <c r="G48" s="3">
        <v>0.37548611111111113</v>
      </c>
    </row>
    <row r="49" spans="1:7" hidden="1" x14ac:dyDescent="0.25">
      <c r="A49">
        <v>17</v>
      </c>
      <c r="B49">
        <v>33</v>
      </c>
      <c r="C49">
        <v>8</v>
      </c>
      <c r="D49">
        <v>5</v>
      </c>
      <c r="E49">
        <v>8</v>
      </c>
      <c r="F49" s="2">
        <v>44855</v>
      </c>
      <c r="G49" s="3">
        <v>0.37554398148148144</v>
      </c>
    </row>
    <row r="50" spans="1:7" hidden="1" x14ac:dyDescent="0.25">
      <c r="A50">
        <v>43</v>
      </c>
      <c r="B50">
        <v>34</v>
      </c>
      <c r="C50">
        <v>1</v>
      </c>
      <c r="F50" s="2">
        <v>44855</v>
      </c>
      <c r="G50" s="3">
        <v>0.37627314814814811</v>
      </c>
    </row>
    <row r="51" spans="1:7" x14ac:dyDescent="0.25">
      <c r="A51">
        <v>56</v>
      </c>
      <c r="B51">
        <v>34</v>
      </c>
      <c r="C51">
        <v>1</v>
      </c>
      <c r="D51">
        <v>2</v>
      </c>
      <c r="E51">
        <v>1</v>
      </c>
      <c r="F51" s="2">
        <v>44855</v>
      </c>
      <c r="G51" s="3">
        <v>0.37642361111111106</v>
      </c>
    </row>
    <row r="52" spans="1:7" hidden="1" x14ac:dyDescent="0.25">
      <c r="A52">
        <v>57</v>
      </c>
      <c r="B52">
        <v>34</v>
      </c>
      <c r="C52">
        <v>2</v>
      </c>
      <c r="F52" s="2">
        <v>44855</v>
      </c>
      <c r="G52" s="3">
        <v>0.37642361111111106</v>
      </c>
    </row>
    <row r="53" spans="1:7" hidden="1" x14ac:dyDescent="0.25">
      <c r="A53">
        <v>73</v>
      </c>
      <c r="B53">
        <v>34</v>
      </c>
      <c r="C53">
        <v>2</v>
      </c>
      <c r="D53">
        <v>3</v>
      </c>
      <c r="E53">
        <v>2</v>
      </c>
      <c r="F53" s="2">
        <v>44855</v>
      </c>
      <c r="G53" s="3">
        <v>0.37656249999999997</v>
      </c>
    </row>
    <row r="54" spans="1:7" hidden="1" x14ac:dyDescent="0.25">
      <c r="A54">
        <v>75</v>
      </c>
      <c r="B54">
        <v>34</v>
      </c>
      <c r="C54">
        <v>3</v>
      </c>
      <c r="F54" s="2">
        <v>44855</v>
      </c>
      <c r="G54" s="3">
        <v>0.37656249999999997</v>
      </c>
    </row>
    <row r="55" spans="1:7" hidden="1" x14ac:dyDescent="0.25">
      <c r="A55">
        <v>83</v>
      </c>
      <c r="B55">
        <v>34</v>
      </c>
      <c r="C55">
        <v>3</v>
      </c>
      <c r="D55">
        <v>3</v>
      </c>
      <c r="E55">
        <v>3</v>
      </c>
      <c r="F55" s="2">
        <v>44855</v>
      </c>
      <c r="G55" s="3">
        <v>0.37664351851851857</v>
      </c>
    </row>
    <row r="56" spans="1:7" hidden="1" x14ac:dyDescent="0.25">
      <c r="A56">
        <v>84</v>
      </c>
      <c r="B56">
        <v>34</v>
      </c>
      <c r="C56">
        <v>4</v>
      </c>
      <c r="F56" s="2">
        <v>44855</v>
      </c>
      <c r="G56" s="3">
        <v>0.37664351851851857</v>
      </c>
    </row>
    <row r="57" spans="1:7" hidden="1" x14ac:dyDescent="0.25">
      <c r="A57">
        <v>89</v>
      </c>
      <c r="B57">
        <v>34</v>
      </c>
      <c r="C57">
        <v>4</v>
      </c>
      <c r="D57">
        <v>3</v>
      </c>
      <c r="E57">
        <v>4</v>
      </c>
      <c r="F57" s="2">
        <v>44855</v>
      </c>
      <c r="G57" s="3">
        <v>0.37670138888888888</v>
      </c>
    </row>
    <row r="58" spans="1:7" hidden="1" x14ac:dyDescent="0.25">
      <c r="A58">
        <v>90</v>
      </c>
      <c r="B58">
        <v>34</v>
      </c>
      <c r="C58">
        <v>5</v>
      </c>
      <c r="F58" s="2">
        <v>44855</v>
      </c>
      <c r="G58" s="3">
        <v>0.37671296296296292</v>
      </c>
    </row>
    <row r="59" spans="1:7" hidden="1" x14ac:dyDescent="0.25">
      <c r="A59">
        <v>97</v>
      </c>
      <c r="B59">
        <v>34</v>
      </c>
      <c r="C59">
        <v>5</v>
      </c>
      <c r="D59">
        <v>0</v>
      </c>
      <c r="E59">
        <v>5</v>
      </c>
      <c r="F59" s="2">
        <v>44855</v>
      </c>
      <c r="G59" s="3">
        <v>0.37682870370370369</v>
      </c>
    </row>
    <row r="60" spans="1:7" hidden="1" x14ac:dyDescent="0.25">
      <c r="A60">
        <v>98</v>
      </c>
      <c r="B60">
        <v>34</v>
      </c>
      <c r="C60">
        <v>6</v>
      </c>
      <c r="F60" s="2">
        <v>44855</v>
      </c>
      <c r="G60" s="3">
        <v>0.37682870370370369</v>
      </c>
    </row>
    <row r="61" spans="1:7" hidden="1" x14ac:dyDescent="0.25">
      <c r="A61">
        <v>103</v>
      </c>
      <c r="B61">
        <v>34</v>
      </c>
      <c r="C61">
        <v>6</v>
      </c>
      <c r="D61">
        <v>3</v>
      </c>
      <c r="E61">
        <v>6</v>
      </c>
      <c r="F61" s="2">
        <v>44855</v>
      </c>
      <c r="G61" s="3">
        <v>0.37687500000000002</v>
      </c>
    </row>
    <row r="62" spans="1:7" hidden="1" x14ac:dyDescent="0.25">
      <c r="A62">
        <v>104</v>
      </c>
      <c r="B62">
        <v>34</v>
      </c>
      <c r="C62">
        <v>7</v>
      </c>
      <c r="F62" s="2">
        <v>44855</v>
      </c>
      <c r="G62" s="3">
        <v>0.37687500000000002</v>
      </c>
    </row>
    <row r="63" spans="1:7" hidden="1" x14ac:dyDescent="0.25">
      <c r="A63">
        <v>107</v>
      </c>
      <c r="B63">
        <v>34</v>
      </c>
      <c r="C63">
        <v>7</v>
      </c>
      <c r="D63">
        <v>3</v>
      </c>
      <c r="E63">
        <v>7</v>
      </c>
      <c r="F63" s="2">
        <v>44855</v>
      </c>
      <c r="G63" s="3">
        <v>0.37690972222222219</v>
      </c>
    </row>
    <row r="64" spans="1:7" hidden="1" x14ac:dyDescent="0.25">
      <c r="A64">
        <v>108</v>
      </c>
      <c r="B64">
        <v>34</v>
      </c>
      <c r="C64">
        <v>8</v>
      </c>
      <c r="F64" s="2">
        <v>44855</v>
      </c>
      <c r="G64" s="3">
        <v>0.37690972222222219</v>
      </c>
    </row>
    <row r="65" spans="1:7" hidden="1" x14ac:dyDescent="0.25">
      <c r="A65">
        <v>111</v>
      </c>
      <c r="B65">
        <v>34</v>
      </c>
      <c r="C65">
        <v>8</v>
      </c>
      <c r="D65">
        <v>4</v>
      </c>
      <c r="E65">
        <v>8</v>
      </c>
      <c r="F65" s="2">
        <v>44855</v>
      </c>
      <c r="G65" s="3">
        <v>0.37700231481481478</v>
      </c>
    </row>
    <row r="66" spans="1:7" hidden="1" x14ac:dyDescent="0.25">
      <c r="A66">
        <v>38</v>
      </c>
      <c r="B66">
        <v>35</v>
      </c>
      <c r="C66">
        <v>1</v>
      </c>
      <c r="F66" s="2">
        <v>44855</v>
      </c>
      <c r="G66" s="3">
        <v>0.37612268518518516</v>
      </c>
    </row>
    <row r="67" spans="1:7" x14ac:dyDescent="0.25">
      <c r="A67">
        <v>54</v>
      </c>
      <c r="B67">
        <v>35</v>
      </c>
      <c r="C67">
        <v>1</v>
      </c>
      <c r="D67">
        <v>1</v>
      </c>
      <c r="E67">
        <v>1</v>
      </c>
      <c r="F67" s="2">
        <v>44855</v>
      </c>
      <c r="G67" s="3">
        <v>0.37641203703703702</v>
      </c>
    </row>
    <row r="68" spans="1:7" hidden="1" x14ac:dyDescent="0.25">
      <c r="A68">
        <v>55</v>
      </c>
      <c r="B68">
        <v>35</v>
      </c>
      <c r="C68">
        <v>2</v>
      </c>
      <c r="F68" s="2">
        <v>44855</v>
      </c>
      <c r="G68" s="3">
        <v>0.37642361111111106</v>
      </c>
    </row>
    <row r="69" spans="1:7" hidden="1" x14ac:dyDescent="0.25">
      <c r="A69">
        <v>60</v>
      </c>
      <c r="B69">
        <v>35</v>
      </c>
      <c r="C69">
        <v>2</v>
      </c>
      <c r="D69">
        <v>3</v>
      </c>
      <c r="E69">
        <v>2</v>
      </c>
      <c r="F69" s="2">
        <v>44855</v>
      </c>
      <c r="G69" s="3">
        <v>0.37645833333333334</v>
      </c>
    </row>
    <row r="70" spans="1:7" hidden="1" x14ac:dyDescent="0.25">
      <c r="A70">
        <v>61</v>
      </c>
      <c r="B70">
        <v>35</v>
      </c>
      <c r="C70">
        <v>3</v>
      </c>
      <c r="F70" s="2">
        <v>44855</v>
      </c>
      <c r="G70" s="3">
        <v>0.37645833333333334</v>
      </c>
    </row>
    <row r="71" spans="1:7" hidden="1" x14ac:dyDescent="0.25">
      <c r="A71">
        <v>66</v>
      </c>
      <c r="B71">
        <v>35</v>
      </c>
      <c r="C71">
        <v>3</v>
      </c>
      <c r="D71">
        <v>2</v>
      </c>
      <c r="E71">
        <v>3</v>
      </c>
      <c r="F71" s="2">
        <v>44855</v>
      </c>
      <c r="G71" s="3">
        <v>0.37649305555555551</v>
      </c>
    </row>
    <row r="72" spans="1:7" hidden="1" x14ac:dyDescent="0.25">
      <c r="A72">
        <v>67</v>
      </c>
      <c r="B72">
        <v>35</v>
      </c>
      <c r="C72">
        <v>4</v>
      </c>
      <c r="F72" s="2">
        <v>44855</v>
      </c>
      <c r="G72" s="3">
        <v>0.37649305555555551</v>
      </c>
    </row>
    <row r="73" spans="1:7" hidden="1" x14ac:dyDescent="0.25">
      <c r="A73">
        <v>70</v>
      </c>
      <c r="B73">
        <v>35</v>
      </c>
      <c r="C73">
        <v>4</v>
      </c>
      <c r="D73">
        <v>1</v>
      </c>
      <c r="E73">
        <v>4</v>
      </c>
      <c r="F73" s="2">
        <v>44855</v>
      </c>
      <c r="G73" s="3">
        <v>0.37653935185185183</v>
      </c>
    </row>
    <row r="74" spans="1:7" hidden="1" x14ac:dyDescent="0.25">
      <c r="A74">
        <v>71</v>
      </c>
      <c r="B74">
        <v>35</v>
      </c>
      <c r="C74">
        <v>5</v>
      </c>
      <c r="F74" s="2">
        <v>44855</v>
      </c>
      <c r="G74" s="3">
        <v>0.37653935185185183</v>
      </c>
    </row>
    <row r="75" spans="1:7" hidden="1" x14ac:dyDescent="0.25">
      <c r="A75">
        <v>78</v>
      </c>
      <c r="B75">
        <v>35</v>
      </c>
      <c r="C75">
        <v>5</v>
      </c>
      <c r="D75">
        <v>4</v>
      </c>
      <c r="E75">
        <v>5</v>
      </c>
      <c r="F75" s="2">
        <v>44855</v>
      </c>
      <c r="G75" s="3">
        <v>0.37659722222222225</v>
      </c>
    </row>
    <row r="76" spans="1:7" hidden="1" x14ac:dyDescent="0.25">
      <c r="A76">
        <v>79</v>
      </c>
      <c r="B76">
        <v>35</v>
      </c>
      <c r="C76">
        <v>6</v>
      </c>
      <c r="F76" s="2">
        <v>44855</v>
      </c>
      <c r="G76" s="3">
        <v>0.37659722222222225</v>
      </c>
    </row>
    <row r="77" spans="1:7" hidden="1" x14ac:dyDescent="0.25">
      <c r="A77">
        <v>87</v>
      </c>
      <c r="B77">
        <v>35</v>
      </c>
      <c r="C77">
        <v>6</v>
      </c>
      <c r="D77">
        <v>5</v>
      </c>
      <c r="E77">
        <v>6</v>
      </c>
      <c r="F77" s="2">
        <v>44855</v>
      </c>
      <c r="G77" s="3">
        <v>0.37670138888888888</v>
      </c>
    </row>
    <row r="78" spans="1:7" hidden="1" x14ac:dyDescent="0.25">
      <c r="A78">
        <v>88</v>
      </c>
      <c r="B78">
        <v>35</v>
      </c>
      <c r="C78">
        <v>7</v>
      </c>
      <c r="F78" s="2">
        <v>44855</v>
      </c>
      <c r="G78" s="3">
        <v>0.37670138888888888</v>
      </c>
    </row>
    <row r="79" spans="1:7" hidden="1" x14ac:dyDescent="0.25">
      <c r="A79">
        <v>101</v>
      </c>
      <c r="B79">
        <v>35</v>
      </c>
      <c r="C79">
        <v>7</v>
      </c>
      <c r="D79">
        <v>5</v>
      </c>
      <c r="E79">
        <v>7</v>
      </c>
      <c r="F79" s="2">
        <v>44855</v>
      </c>
      <c r="G79" s="3">
        <v>0.37686342592592598</v>
      </c>
    </row>
    <row r="80" spans="1:7" hidden="1" x14ac:dyDescent="0.25">
      <c r="A80">
        <v>102</v>
      </c>
      <c r="B80">
        <v>35</v>
      </c>
      <c r="C80">
        <v>8</v>
      </c>
      <c r="F80" s="2">
        <v>44855</v>
      </c>
      <c r="G80" s="3">
        <v>0.37686342592592598</v>
      </c>
    </row>
    <row r="81" spans="1:7" hidden="1" x14ac:dyDescent="0.25">
      <c r="A81">
        <v>112</v>
      </c>
      <c r="B81">
        <v>35</v>
      </c>
      <c r="C81">
        <v>8</v>
      </c>
      <c r="D81">
        <v>5</v>
      </c>
      <c r="E81">
        <v>8</v>
      </c>
      <c r="F81" s="2">
        <v>44855</v>
      </c>
      <c r="G81" s="3">
        <v>0.37701388888888893</v>
      </c>
    </row>
    <row r="82" spans="1:7" hidden="1" x14ac:dyDescent="0.25">
      <c r="A82">
        <v>12</v>
      </c>
      <c r="B82">
        <v>36</v>
      </c>
      <c r="C82">
        <v>1</v>
      </c>
      <c r="F82" s="2">
        <v>44855</v>
      </c>
      <c r="G82" s="3">
        <v>0.37538194444444445</v>
      </c>
    </row>
    <row r="83" spans="1:7" x14ac:dyDescent="0.25">
      <c r="A83">
        <v>18</v>
      </c>
      <c r="B83">
        <v>36</v>
      </c>
      <c r="C83">
        <v>1</v>
      </c>
      <c r="D83">
        <v>1</v>
      </c>
      <c r="E83">
        <v>1</v>
      </c>
      <c r="F83" s="2">
        <v>44855</v>
      </c>
      <c r="G83" s="3">
        <v>0.37559027777777776</v>
      </c>
    </row>
    <row r="84" spans="1:7" hidden="1" x14ac:dyDescent="0.25">
      <c r="A84">
        <v>19</v>
      </c>
      <c r="B84">
        <v>36</v>
      </c>
      <c r="C84">
        <v>2</v>
      </c>
      <c r="F84" s="2">
        <v>44855</v>
      </c>
      <c r="G84" s="3">
        <v>0.37559027777777776</v>
      </c>
    </row>
    <row r="85" spans="1:7" hidden="1" x14ac:dyDescent="0.25">
      <c r="A85">
        <v>20</v>
      </c>
      <c r="B85">
        <v>36</v>
      </c>
      <c r="C85">
        <v>2</v>
      </c>
      <c r="D85">
        <v>1</v>
      </c>
      <c r="E85">
        <v>2</v>
      </c>
      <c r="F85" s="2">
        <v>44855</v>
      </c>
      <c r="G85" s="3">
        <v>0.37565972222222221</v>
      </c>
    </row>
    <row r="86" spans="1:7" hidden="1" x14ac:dyDescent="0.25">
      <c r="A86">
        <v>21</v>
      </c>
      <c r="B86">
        <v>36</v>
      </c>
      <c r="C86">
        <v>3</v>
      </c>
      <c r="F86" s="2">
        <v>44855</v>
      </c>
      <c r="G86" s="3">
        <v>0.37565972222222221</v>
      </c>
    </row>
    <row r="87" spans="1:7" hidden="1" x14ac:dyDescent="0.25">
      <c r="A87">
        <v>23</v>
      </c>
      <c r="B87">
        <v>36</v>
      </c>
      <c r="C87">
        <v>3</v>
      </c>
      <c r="D87">
        <v>3</v>
      </c>
      <c r="E87">
        <v>3</v>
      </c>
      <c r="F87" s="2">
        <v>44855</v>
      </c>
      <c r="G87" s="3">
        <v>0.37570601851851854</v>
      </c>
    </row>
    <row r="88" spans="1:7" hidden="1" x14ac:dyDescent="0.25">
      <c r="A88">
        <v>24</v>
      </c>
      <c r="B88">
        <v>36</v>
      </c>
      <c r="C88">
        <v>4</v>
      </c>
      <c r="F88" s="2">
        <v>44855</v>
      </c>
      <c r="G88" s="3">
        <v>0.37570601851851854</v>
      </c>
    </row>
    <row r="89" spans="1:7" hidden="1" x14ac:dyDescent="0.25">
      <c r="A89">
        <v>25</v>
      </c>
      <c r="B89">
        <v>36</v>
      </c>
      <c r="C89">
        <v>4</v>
      </c>
      <c r="D89">
        <v>1</v>
      </c>
      <c r="E89">
        <v>4</v>
      </c>
      <c r="F89" s="2">
        <v>44855</v>
      </c>
      <c r="G89" s="3">
        <v>0.37577546296296299</v>
      </c>
    </row>
    <row r="90" spans="1:7" hidden="1" x14ac:dyDescent="0.25">
      <c r="A90">
        <v>26</v>
      </c>
      <c r="B90">
        <v>36</v>
      </c>
      <c r="C90">
        <v>5</v>
      </c>
      <c r="F90" s="2">
        <v>44855</v>
      </c>
      <c r="G90" s="3">
        <v>0.37577546296296299</v>
      </c>
    </row>
    <row r="91" spans="1:7" hidden="1" x14ac:dyDescent="0.25">
      <c r="A91">
        <v>27</v>
      </c>
      <c r="B91">
        <v>36</v>
      </c>
      <c r="C91">
        <v>5</v>
      </c>
      <c r="D91">
        <v>3</v>
      </c>
      <c r="E91">
        <v>5</v>
      </c>
      <c r="F91" s="2">
        <v>44855</v>
      </c>
      <c r="G91" s="3">
        <v>0.37586805555555558</v>
      </c>
    </row>
    <row r="92" spans="1:7" hidden="1" x14ac:dyDescent="0.25">
      <c r="A92">
        <v>28</v>
      </c>
      <c r="B92">
        <v>36</v>
      </c>
      <c r="C92">
        <v>6</v>
      </c>
      <c r="F92" s="2">
        <v>44855</v>
      </c>
      <c r="G92" s="3">
        <v>0.37586805555555558</v>
      </c>
    </row>
    <row r="93" spans="1:7" hidden="1" x14ac:dyDescent="0.25">
      <c r="A93">
        <v>29</v>
      </c>
      <c r="B93">
        <v>36</v>
      </c>
      <c r="C93">
        <v>6</v>
      </c>
      <c r="D93">
        <v>3</v>
      </c>
      <c r="E93">
        <v>6</v>
      </c>
      <c r="F93" s="2">
        <v>44855</v>
      </c>
      <c r="G93" s="3">
        <v>0.3759143518518519</v>
      </c>
    </row>
    <row r="94" spans="1:7" hidden="1" x14ac:dyDescent="0.25">
      <c r="A94">
        <v>30</v>
      </c>
      <c r="B94">
        <v>36</v>
      </c>
      <c r="C94">
        <v>7</v>
      </c>
      <c r="F94" s="2">
        <v>44855</v>
      </c>
      <c r="G94" s="3">
        <v>0.3759143518518519</v>
      </c>
    </row>
    <row r="95" spans="1:7" hidden="1" x14ac:dyDescent="0.25">
      <c r="A95">
        <v>31</v>
      </c>
      <c r="B95">
        <v>36</v>
      </c>
      <c r="C95">
        <v>7</v>
      </c>
      <c r="D95">
        <v>0</v>
      </c>
      <c r="E95">
        <v>7</v>
      </c>
      <c r="F95" s="2">
        <v>44855</v>
      </c>
      <c r="G95" s="3">
        <v>0.37597222222222221</v>
      </c>
    </row>
    <row r="96" spans="1:7" hidden="1" x14ac:dyDescent="0.25">
      <c r="A96">
        <v>32</v>
      </c>
      <c r="B96">
        <v>36</v>
      </c>
      <c r="C96">
        <v>8</v>
      </c>
      <c r="F96" s="2">
        <v>44855</v>
      </c>
      <c r="G96" s="3">
        <v>0.37597222222222221</v>
      </c>
    </row>
    <row r="97" spans="1:7" hidden="1" x14ac:dyDescent="0.25">
      <c r="A97">
        <v>34</v>
      </c>
      <c r="B97">
        <v>36</v>
      </c>
      <c r="C97">
        <v>8</v>
      </c>
      <c r="D97">
        <v>1</v>
      </c>
      <c r="E97">
        <v>8</v>
      </c>
      <c r="F97" s="2">
        <v>44855</v>
      </c>
      <c r="G97" s="3">
        <v>0.37603009259259257</v>
      </c>
    </row>
    <row r="98" spans="1:7" hidden="1" x14ac:dyDescent="0.25">
      <c r="A98">
        <v>22</v>
      </c>
      <c r="B98">
        <v>37</v>
      </c>
      <c r="C98">
        <v>1</v>
      </c>
      <c r="F98" s="2">
        <v>44855</v>
      </c>
      <c r="G98" s="3">
        <v>0.37568287037037035</v>
      </c>
    </row>
    <row r="99" spans="1:7" x14ac:dyDescent="0.25">
      <c r="A99">
        <v>33</v>
      </c>
      <c r="B99">
        <v>37</v>
      </c>
      <c r="C99">
        <v>1</v>
      </c>
      <c r="D99">
        <v>1</v>
      </c>
      <c r="E99">
        <v>1</v>
      </c>
      <c r="F99" s="2">
        <v>44855</v>
      </c>
      <c r="G99" s="3">
        <v>0.37603009259259257</v>
      </c>
    </row>
    <row r="100" spans="1:7" hidden="1" x14ac:dyDescent="0.25">
      <c r="A100">
        <v>35</v>
      </c>
      <c r="B100">
        <v>37</v>
      </c>
      <c r="C100">
        <v>2</v>
      </c>
      <c r="F100" s="2">
        <v>44855</v>
      </c>
      <c r="G100" s="3">
        <v>0.37603009259259257</v>
      </c>
    </row>
    <row r="101" spans="1:7" hidden="1" x14ac:dyDescent="0.25">
      <c r="A101">
        <v>39</v>
      </c>
      <c r="B101">
        <v>37</v>
      </c>
      <c r="C101">
        <v>2</v>
      </c>
      <c r="D101">
        <v>3</v>
      </c>
      <c r="E101">
        <v>2</v>
      </c>
      <c r="F101" s="2">
        <v>44855</v>
      </c>
      <c r="G101" s="3">
        <v>0.37615740740740744</v>
      </c>
    </row>
    <row r="102" spans="1:7" hidden="1" x14ac:dyDescent="0.25">
      <c r="A102">
        <v>40</v>
      </c>
      <c r="B102">
        <v>37</v>
      </c>
      <c r="C102">
        <v>3</v>
      </c>
      <c r="F102" s="2">
        <v>44855</v>
      </c>
      <c r="G102" s="3">
        <v>0.37615740740740744</v>
      </c>
    </row>
    <row r="103" spans="1:7" hidden="1" x14ac:dyDescent="0.25">
      <c r="A103">
        <v>41</v>
      </c>
      <c r="B103">
        <v>37</v>
      </c>
      <c r="C103">
        <v>3</v>
      </c>
      <c r="D103">
        <v>0</v>
      </c>
      <c r="E103">
        <v>3</v>
      </c>
      <c r="F103" s="2">
        <v>44855</v>
      </c>
      <c r="G103" s="3">
        <v>0.37624999999999997</v>
      </c>
    </row>
    <row r="104" spans="1:7" hidden="1" x14ac:dyDescent="0.25">
      <c r="A104">
        <v>42</v>
      </c>
      <c r="B104">
        <v>37</v>
      </c>
      <c r="C104">
        <v>4</v>
      </c>
      <c r="F104" s="2">
        <v>44855</v>
      </c>
      <c r="G104" s="3">
        <v>0.37624999999999997</v>
      </c>
    </row>
    <row r="105" spans="1:7" hidden="1" x14ac:dyDescent="0.25">
      <c r="A105">
        <v>48</v>
      </c>
      <c r="B105">
        <v>37</v>
      </c>
      <c r="C105">
        <v>4</v>
      </c>
      <c r="D105">
        <v>3</v>
      </c>
      <c r="E105">
        <v>4</v>
      </c>
      <c r="F105" s="2">
        <v>44855</v>
      </c>
      <c r="G105" s="3">
        <v>0.37636574074074075</v>
      </c>
    </row>
    <row r="106" spans="1:7" hidden="1" x14ac:dyDescent="0.25">
      <c r="A106">
        <v>49</v>
      </c>
      <c r="B106">
        <v>37</v>
      </c>
      <c r="C106">
        <v>5</v>
      </c>
      <c r="F106" s="2">
        <v>44855</v>
      </c>
      <c r="G106" s="3">
        <v>0.37636574074074075</v>
      </c>
    </row>
    <row r="107" spans="1:7" hidden="1" x14ac:dyDescent="0.25">
      <c r="A107">
        <v>64</v>
      </c>
      <c r="B107">
        <v>37</v>
      </c>
      <c r="C107">
        <v>5</v>
      </c>
      <c r="D107">
        <v>3</v>
      </c>
      <c r="E107">
        <v>5</v>
      </c>
      <c r="F107" s="2">
        <v>44855</v>
      </c>
      <c r="G107" s="3">
        <v>0.37648148148148147</v>
      </c>
    </row>
    <row r="108" spans="1:7" hidden="1" x14ac:dyDescent="0.25">
      <c r="A108">
        <v>65</v>
      </c>
      <c r="B108">
        <v>37</v>
      </c>
      <c r="C108">
        <v>6</v>
      </c>
      <c r="F108" s="2">
        <v>44855</v>
      </c>
      <c r="G108" s="3">
        <v>0.37648148148148147</v>
      </c>
    </row>
    <row r="109" spans="1:7" hidden="1" x14ac:dyDescent="0.25">
      <c r="A109">
        <v>68</v>
      </c>
      <c r="B109">
        <v>37</v>
      </c>
      <c r="C109">
        <v>6</v>
      </c>
      <c r="D109">
        <v>3</v>
      </c>
      <c r="E109">
        <v>6</v>
      </c>
      <c r="F109" s="2">
        <v>44855</v>
      </c>
      <c r="G109" s="3">
        <v>0.37652777777777779</v>
      </c>
    </row>
    <row r="110" spans="1:7" hidden="1" x14ac:dyDescent="0.25">
      <c r="A110">
        <v>69</v>
      </c>
      <c r="B110">
        <v>37</v>
      </c>
      <c r="C110">
        <v>7</v>
      </c>
      <c r="F110" s="2">
        <v>44855</v>
      </c>
      <c r="G110" s="3">
        <v>0.37652777777777779</v>
      </c>
    </row>
    <row r="111" spans="1:7" hidden="1" x14ac:dyDescent="0.25">
      <c r="A111">
        <v>72</v>
      </c>
      <c r="B111">
        <v>37</v>
      </c>
      <c r="C111">
        <v>7</v>
      </c>
      <c r="D111">
        <v>3</v>
      </c>
      <c r="E111">
        <v>7</v>
      </c>
      <c r="F111" s="2">
        <v>44855</v>
      </c>
      <c r="G111" s="3">
        <v>0.37656249999999997</v>
      </c>
    </row>
    <row r="112" spans="1:7" hidden="1" x14ac:dyDescent="0.25">
      <c r="A112">
        <v>74</v>
      </c>
      <c r="B112">
        <v>37</v>
      </c>
      <c r="C112">
        <v>8</v>
      </c>
      <c r="F112" s="2">
        <v>44855</v>
      </c>
      <c r="G112" s="3">
        <v>0.37656249999999997</v>
      </c>
    </row>
    <row r="113" spans="1:7" hidden="1" x14ac:dyDescent="0.25">
      <c r="A113">
        <v>80</v>
      </c>
      <c r="B113">
        <v>37</v>
      </c>
      <c r="C113">
        <v>8</v>
      </c>
      <c r="D113">
        <v>3</v>
      </c>
      <c r="E113">
        <v>8</v>
      </c>
      <c r="F113" s="2">
        <v>44855</v>
      </c>
      <c r="G113" s="3">
        <v>0.37662037037037038</v>
      </c>
    </row>
    <row r="114" spans="1:7" hidden="1" x14ac:dyDescent="0.25">
      <c r="A114">
        <v>37</v>
      </c>
      <c r="B114">
        <v>38</v>
      </c>
      <c r="C114">
        <v>1</v>
      </c>
      <c r="F114" s="2">
        <v>44855</v>
      </c>
      <c r="G114" s="3">
        <v>0.37611111111111112</v>
      </c>
    </row>
    <row r="115" spans="1:7" x14ac:dyDescent="0.25">
      <c r="A115">
        <v>46</v>
      </c>
      <c r="B115">
        <v>38</v>
      </c>
      <c r="C115">
        <v>1</v>
      </c>
      <c r="D115">
        <v>4</v>
      </c>
      <c r="E115">
        <v>1</v>
      </c>
      <c r="F115" s="2">
        <v>44855</v>
      </c>
      <c r="G115" s="3">
        <v>0.37631944444444443</v>
      </c>
    </row>
    <row r="116" spans="1:7" hidden="1" x14ac:dyDescent="0.25">
      <c r="A116">
        <v>47</v>
      </c>
      <c r="B116">
        <v>38</v>
      </c>
      <c r="C116">
        <v>2</v>
      </c>
      <c r="F116" s="2">
        <v>44855</v>
      </c>
      <c r="G116" s="3">
        <v>0.37631944444444443</v>
      </c>
    </row>
    <row r="117" spans="1:7" hidden="1" x14ac:dyDescent="0.25">
      <c r="A117">
        <v>52</v>
      </c>
      <c r="B117">
        <v>38</v>
      </c>
      <c r="C117">
        <v>2</v>
      </c>
      <c r="D117">
        <v>4</v>
      </c>
      <c r="E117">
        <v>2</v>
      </c>
      <c r="F117" s="2">
        <v>44855</v>
      </c>
      <c r="G117" s="3">
        <v>0.37638888888888888</v>
      </c>
    </row>
    <row r="118" spans="1:7" hidden="1" x14ac:dyDescent="0.25">
      <c r="A118">
        <v>53</v>
      </c>
      <c r="B118">
        <v>38</v>
      </c>
      <c r="C118">
        <v>3</v>
      </c>
      <c r="F118" s="2">
        <v>44855</v>
      </c>
      <c r="G118" s="3">
        <v>0.37638888888888888</v>
      </c>
    </row>
    <row r="119" spans="1:7" hidden="1" x14ac:dyDescent="0.25">
      <c r="A119">
        <v>62</v>
      </c>
      <c r="B119">
        <v>38</v>
      </c>
      <c r="C119">
        <v>3</v>
      </c>
      <c r="D119">
        <v>5</v>
      </c>
      <c r="E119">
        <v>3</v>
      </c>
      <c r="F119" s="2">
        <v>44855</v>
      </c>
      <c r="G119" s="3">
        <v>0.37646990740740738</v>
      </c>
    </row>
    <row r="120" spans="1:7" hidden="1" x14ac:dyDescent="0.25">
      <c r="A120">
        <v>63</v>
      </c>
      <c r="B120">
        <v>38</v>
      </c>
      <c r="C120">
        <v>4</v>
      </c>
      <c r="F120" s="2">
        <v>44855</v>
      </c>
      <c r="G120" s="3">
        <v>0.37646990740740738</v>
      </c>
    </row>
    <row r="121" spans="1:7" hidden="1" x14ac:dyDescent="0.25">
      <c r="A121">
        <v>76</v>
      </c>
      <c r="B121">
        <v>38</v>
      </c>
      <c r="C121">
        <v>4</v>
      </c>
      <c r="D121">
        <v>1</v>
      </c>
      <c r="E121">
        <v>4</v>
      </c>
      <c r="F121" s="2">
        <v>44855</v>
      </c>
      <c r="G121" s="3">
        <v>0.37657407407407412</v>
      </c>
    </row>
    <row r="122" spans="1:7" hidden="1" x14ac:dyDescent="0.25">
      <c r="A122">
        <v>77</v>
      </c>
      <c r="B122">
        <v>38</v>
      </c>
      <c r="C122">
        <v>5</v>
      </c>
      <c r="F122" s="2">
        <v>44855</v>
      </c>
      <c r="G122" s="3">
        <v>0.37657407407407412</v>
      </c>
    </row>
    <row r="123" spans="1:7" hidden="1" x14ac:dyDescent="0.25">
      <c r="A123">
        <v>81</v>
      </c>
      <c r="B123">
        <v>38</v>
      </c>
      <c r="C123">
        <v>5</v>
      </c>
      <c r="D123">
        <v>3</v>
      </c>
      <c r="E123">
        <v>5</v>
      </c>
      <c r="F123" s="2">
        <v>44855</v>
      </c>
      <c r="G123" s="3">
        <v>0.37663194444444442</v>
      </c>
    </row>
    <row r="124" spans="1:7" hidden="1" x14ac:dyDescent="0.25">
      <c r="A124">
        <v>82</v>
      </c>
      <c r="B124">
        <v>38</v>
      </c>
      <c r="C124">
        <v>6</v>
      </c>
      <c r="F124" s="2">
        <v>44855</v>
      </c>
      <c r="G124" s="3">
        <v>0.37664351851851857</v>
      </c>
    </row>
    <row r="125" spans="1:7" hidden="1" x14ac:dyDescent="0.25">
      <c r="A125">
        <v>91</v>
      </c>
      <c r="B125">
        <v>38</v>
      </c>
      <c r="C125">
        <v>6</v>
      </c>
      <c r="D125">
        <v>5</v>
      </c>
      <c r="E125">
        <v>6</v>
      </c>
      <c r="F125" s="2">
        <v>44855</v>
      </c>
      <c r="G125" s="3">
        <v>0.37671296296296292</v>
      </c>
    </row>
    <row r="126" spans="1:7" hidden="1" x14ac:dyDescent="0.25">
      <c r="A126">
        <v>92</v>
      </c>
      <c r="B126">
        <v>38</v>
      </c>
      <c r="C126">
        <v>7</v>
      </c>
      <c r="F126" s="2">
        <v>44855</v>
      </c>
      <c r="G126" s="3">
        <v>0.37671296296296292</v>
      </c>
    </row>
    <row r="127" spans="1:7" hidden="1" x14ac:dyDescent="0.25">
      <c r="A127">
        <v>99</v>
      </c>
      <c r="B127">
        <v>38</v>
      </c>
      <c r="C127">
        <v>7</v>
      </c>
      <c r="D127">
        <v>0</v>
      </c>
      <c r="E127">
        <v>7</v>
      </c>
      <c r="F127" s="2">
        <v>44855</v>
      </c>
      <c r="G127" s="3">
        <v>0.37682870370370369</v>
      </c>
    </row>
    <row r="128" spans="1:7" hidden="1" x14ac:dyDescent="0.25">
      <c r="A128">
        <v>100</v>
      </c>
      <c r="B128">
        <v>38</v>
      </c>
      <c r="C128">
        <v>8</v>
      </c>
      <c r="F128" s="2">
        <v>44855</v>
      </c>
      <c r="G128" s="3">
        <v>0.37682870370370369</v>
      </c>
    </row>
    <row r="129" spans="1:7" hidden="1" x14ac:dyDescent="0.25">
      <c r="A129">
        <v>109</v>
      </c>
      <c r="B129">
        <v>38</v>
      </c>
      <c r="C129">
        <v>8</v>
      </c>
      <c r="D129">
        <v>5</v>
      </c>
      <c r="E129">
        <v>8</v>
      </c>
      <c r="F129" s="2">
        <v>44855</v>
      </c>
      <c r="G129" s="3">
        <v>0.37697916666666664</v>
      </c>
    </row>
  </sheetData>
  <autoFilter ref="A1:G129" xr:uid="{4D6A818E-2D16-4339-9765-064BBCCA17CD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2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2" sqref="B2:C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30</v>
      </c>
      <c r="D2" t="s">
        <v>45</v>
      </c>
      <c r="E2" t="s">
        <v>9</v>
      </c>
      <c r="H2" t="s">
        <v>10</v>
      </c>
      <c r="I2" s="1">
        <v>44855.37048740741</v>
      </c>
    </row>
    <row r="3" spans="1:9" x14ac:dyDescent="0.25">
      <c r="A3">
        <v>31</v>
      </c>
      <c r="D3" t="s">
        <v>45</v>
      </c>
      <c r="E3" t="s">
        <v>9</v>
      </c>
      <c r="H3" t="s">
        <v>10</v>
      </c>
      <c r="I3" s="1">
        <v>44855.370525787039</v>
      </c>
    </row>
    <row r="4" spans="1:9" x14ac:dyDescent="0.25">
      <c r="A4">
        <v>33</v>
      </c>
      <c r="D4" t="s">
        <v>45</v>
      </c>
      <c r="E4" t="s">
        <v>9</v>
      </c>
      <c r="H4" t="s">
        <v>11</v>
      </c>
      <c r="I4" s="1">
        <v>44855.370622708331</v>
      </c>
    </row>
    <row r="5" spans="1:9" x14ac:dyDescent="0.25">
      <c r="A5">
        <v>34</v>
      </c>
      <c r="D5" t="s">
        <v>45</v>
      </c>
      <c r="E5" t="s">
        <v>9</v>
      </c>
      <c r="H5" t="s">
        <v>11</v>
      </c>
      <c r="I5" s="1">
        <v>44855.370694247686</v>
      </c>
    </row>
    <row r="6" spans="1:9" x14ac:dyDescent="0.25">
      <c r="A6">
        <v>35</v>
      </c>
      <c r="D6" t="s">
        <v>45</v>
      </c>
      <c r="E6" t="s">
        <v>9</v>
      </c>
      <c r="H6" t="s">
        <v>11</v>
      </c>
      <c r="I6" s="1">
        <v>44855.370736874997</v>
      </c>
    </row>
    <row r="7" spans="1:9" x14ac:dyDescent="0.25">
      <c r="A7">
        <v>36</v>
      </c>
      <c r="D7" t="s">
        <v>45</v>
      </c>
      <c r="E7" t="s">
        <v>9</v>
      </c>
      <c r="H7" t="s">
        <v>11</v>
      </c>
      <c r="I7" s="1">
        <v>44855.370803564816</v>
      </c>
    </row>
    <row r="8" spans="1:9" x14ac:dyDescent="0.25">
      <c r="A8">
        <v>37</v>
      </c>
      <c r="D8" t="s">
        <v>45</v>
      </c>
      <c r="E8" t="s">
        <v>9</v>
      </c>
      <c r="H8" t="s">
        <v>10</v>
      </c>
      <c r="I8" s="1">
        <v>44855.370946817129</v>
      </c>
    </row>
    <row r="9" spans="1:9" x14ac:dyDescent="0.25">
      <c r="A9">
        <v>38</v>
      </c>
      <c r="D9" t="s">
        <v>45</v>
      </c>
      <c r="E9" t="s">
        <v>9</v>
      </c>
      <c r="H9" t="s">
        <v>11</v>
      </c>
      <c r="I9" s="1">
        <v>44855.370951574077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5846-9B49-414F-BB29-7D34A068F982}">
  <dimension ref="A1:A3"/>
  <sheetViews>
    <sheetView workbookViewId="0">
      <selection activeCell="C13" sqref="C13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43</v>
      </c>
    </row>
    <row r="3" spans="1:1" x14ac:dyDescent="0.25">
      <c r="A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6FAE-F4F4-4EB2-AD68-CBC5B5909A5D}">
  <sheetPr filterMode="1"/>
  <dimension ref="A1:U17"/>
  <sheetViews>
    <sheetView workbookViewId="0">
      <selection activeCell="K27" sqref="K27"/>
    </sheetView>
  </sheetViews>
  <sheetFormatPr defaultRowHeight="15" x14ac:dyDescent="0.25"/>
  <sheetData>
    <row r="1" spans="1:21" x14ac:dyDescent="0.25">
      <c r="A1" t="s">
        <v>0</v>
      </c>
      <c r="B1" t="s">
        <v>12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8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</row>
    <row r="2" spans="1:21" hidden="1" x14ac:dyDescent="0.25">
      <c r="A2">
        <v>15</v>
      </c>
      <c r="B2">
        <v>30</v>
      </c>
      <c r="K2" s="1">
        <v>44855.376060636576</v>
      </c>
    </row>
    <row r="3" spans="1:21" x14ac:dyDescent="0.25">
      <c r="A3">
        <v>16</v>
      </c>
      <c r="B3">
        <v>30</v>
      </c>
      <c r="C3" t="s">
        <v>34</v>
      </c>
      <c r="D3">
        <v>5</v>
      </c>
      <c r="E3" t="s">
        <v>35</v>
      </c>
      <c r="F3">
        <v>5</v>
      </c>
      <c r="G3" t="s">
        <v>29</v>
      </c>
      <c r="H3">
        <v>1</v>
      </c>
      <c r="I3" t="s">
        <v>31</v>
      </c>
      <c r="J3">
        <v>3</v>
      </c>
      <c r="K3" s="1">
        <v>44855.377017280094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3</v>
      </c>
    </row>
    <row r="4" spans="1:21" hidden="1" x14ac:dyDescent="0.25">
      <c r="A4">
        <v>4</v>
      </c>
      <c r="B4">
        <v>31</v>
      </c>
      <c r="K4" s="1">
        <v>44855.374587210645</v>
      </c>
    </row>
    <row r="5" spans="1:21" x14ac:dyDescent="0.25">
      <c r="A5">
        <v>14</v>
      </c>
      <c r="B5">
        <v>31</v>
      </c>
      <c r="C5" t="s">
        <v>30</v>
      </c>
      <c r="D5">
        <v>4</v>
      </c>
      <c r="E5" t="s">
        <v>36</v>
      </c>
      <c r="F5">
        <v>3</v>
      </c>
      <c r="G5" t="s">
        <v>32</v>
      </c>
      <c r="H5">
        <v>4</v>
      </c>
      <c r="I5" t="s">
        <v>33</v>
      </c>
      <c r="J5">
        <v>5</v>
      </c>
      <c r="K5" s="1">
        <v>44855.375790347221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2</v>
      </c>
      <c r="B6">
        <v>33</v>
      </c>
      <c r="K6" s="1">
        <v>44855.374216111108</v>
      </c>
    </row>
    <row r="7" spans="1:21" x14ac:dyDescent="0.25">
      <c r="A7">
        <v>5</v>
      </c>
      <c r="B7">
        <v>33</v>
      </c>
      <c r="C7" t="s">
        <v>36</v>
      </c>
      <c r="D7">
        <v>5</v>
      </c>
      <c r="E7" t="s">
        <v>30</v>
      </c>
      <c r="F7">
        <v>5</v>
      </c>
      <c r="G7" t="s">
        <v>33</v>
      </c>
      <c r="H7">
        <v>1</v>
      </c>
      <c r="I7" t="s">
        <v>32</v>
      </c>
      <c r="J7">
        <v>1</v>
      </c>
      <c r="K7" s="1">
        <v>44855.374643518517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8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7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5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U7">
        <f>J7</f>
        <v>1</v>
      </c>
    </row>
    <row r="8" spans="1:21" hidden="1" x14ac:dyDescent="0.25">
      <c r="A8">
        <v>1</v>
      </c>
      <c r="B8">
        <v>34</v>
      </c>
      <c r="K8" s="1">
        <v>44855.374197037039</v>
      </c>
    </row>
    <row r="9" spans="1:21" x14ac:dyDescent="0.25">
      <c r="A9">
        <v>11</v>
      </c>
      <c r="B9">
        <v>34</v>
      </c>
      <c r="C9" t="s">
        <v>29</v>
      </c>
      <c r="D9">
        <v>5</v>
      </c>
      <c r="E9" t="s">
        <v>35</v>
      </c>
      <c r="F9">
        <v>4</v>
      </c>
      <c r="G9" t="s">
        <v>34</v>
      </c>
      <c r="H9">
        <v>4</v>
      </c>
      <c r="I9" t="s">
        <v>31</v>
      </c>
      <c r="J9">
        <v>4</v>
      </c>
      <c r="K9" s="1">
        <v>44855.375592615739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4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9</v>
      </c>
      <c r="B10">
        <v>35</v>
      </c>
      <c r="K10" s="1">
        <v>44855.375298819446</v>
      </c>
    </row>
    <row r="11" spans="1:21" x14ac:dyDescent="0.25">
      <c r="A11">
        <v>13</v>
      </c>
      <c r="B11">
        <v>35</v>
      </c>
      <c r="C11" t="s">
        <v>32</v>
      </c>
      <c r="D11">
        <v>5</v>
      </c>
      <c r="E11" t="s">
        <v>33</v>
      </c>
      <c r="F11">
        <v>5</v>
      </c>
      <c r="G11" t="s">
        <v>30</v>
      </c>
      <c r="H11">
        <v>5</v>
      </c>
      <c r="I11" t="s">
        <v>36</v>
      </c>
      <c r="J11">
        <v>1</v>
      </c>
      <c r="K11" s="1">
        <v>44855.375765671299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5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7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U11">
        <f>J11</f>
        <v>1</v>
      </c>
    </row>
    <row r="12" spans="1:21" hidden="1" x14ac:dyDescent="0.25">
      <c r="A12">
        <v>3</v>
      </c>
      <c r="B12">
        <v>36</v>
      </c>
      <c r="K12" s="1">
        <v>44855.374473923614</v>
      </c>
    </row>
    <row r="13" spans="1:21" x14ac:dyDescent="0.25">
      <c r="A13">
        <v>8</v>
      </c>
      <c r="B13">
        <v>36</v>
      </c>
      <c r="C13" t="s">
        <v>29</v>
      </c>
      <c r="D13">
        <v>4</v>
      </c>
      <c r="E13" t="s">
        <v>35</v>
      </c>
      <c r="F13">
        <v>1</v>
      </c>
      <c r="G13" t="s">
        <v>31</v>
      </c>
      <c r="H13">
        <v>3</v>
      </c>
      <c r="I13" t="s">
        <v>34</v>
      </c>
      <c r="J13">
        <v>2</v>
      </c>
      <c r="K13" s="1">
        <v>44855.375090972222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2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1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2</v>
      </c>
    </row>
    <row r="14" spans="1:21" hidden="1" x14ac:dyDescent="0.25">
      <c r="A14">
        <v>7</v>
      </c>
      <c r="B14">
        <v>37</v>
      </c>
      <c r="K14" s="1">
        <v>44855.374731412034</v>
      </c>
    </row>
    <row r="15" spans="1:21" x14ac:dyDescent="0.25">
      <c r="A15">
        <v>10</v>
      </c>
      <c r="B15">
        <v>37</v>
      </c>
      <c r="C15" t="s">
        <v>30</v>
      </c>
      <c r="D15">
        <v>5</v>
      </c>
      <c r="E15" t="s">
        <v>36</v>
      </c>
      <c r="F15">
        <v>3</v>
      </c>
      <c r="G15" t="s">
        <v>32</v>
      </c>
      <c r="H15">
        <v>5</v>
      </c>
      <c r="I15" t="s">
        <v>33</v>
      </c>
      <c r="J15">
        <v>4</v>
      </c>
      <c r="K15" s="1">
        <v>44855.375323692133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6</v>
      </c>
      <c r="B16">
        <v>38</v>
      </c>
      <c r="K16" s="1">
        <v>44855.374679791668</v>
      </c>
    </row>
    <row r="17" spans="1:21" x14ac:dyDescent="0.25">
      <c r="A17">
        <v>12</v>
      </c>
      <c r="B17">
        <v>38</v>
      </c>
      <c r="C17" t="s">
        <v>35</v>
      </c>
      <c r="D17">
        <v>5</v>
      </c>
      <c r="E17" t="s">
        <v>34</v>
      </c>
      <c r="F17">
        <v>1</v>
      </c>
      <c r="G17" t="s">
        <v>29</v>
      </c>
      <c r="H17">
        <v>4</v>
      </c>
      <c r="I17" t="s">
        <v>31</v>
      </c>
      <c r="J17">
        <v>5</v>
      </c>
      <c r="K17" s="1">
        <v>44855.375694571761</v>
      </c>
      <c r="N17">
        <f t="shared" ref="N17" si="0"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3</v>
      </c>
      <c r="O17">
        <f t="shared" ref="O17" si="1">D17</f>
        <v>5</v>
      </c>
      <c r="P17">
        <f t="shared" ref="P17" si="2"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4</v>
      </c>
      <c r="Q17">
        <f t="shared" ref="Q17" si="3">F17</f>
        <v>1</v>
      </c>
      <c r="R17">
        <f t="shared" ref="R17" si="4"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 t="shared" ref="S17" si="5">H17</f>
        <v>4</v>
      </c>
      <c r="T17">
        <f t="shared" ref="T17" si="6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 t="shared" ref="U17" si="7">J17</f>
        <v>5</v>
      </c>
    </row>
  </sheetData>
  <autoFilter ref="A1:K17" xr:uid="{6D98512B-1915-4162-A57B-5B9C01F2E806}">
    <filterColumn colId="2">
      <customFilters>
        <customFilter operator="notEqual" val=" "/>
      </customFilters>
    </filterColumn>
    <sortState ref="A2:K17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94E7-95B8-46B4-ABA9-B11F9F1D6F20}">
  <sheetPr filterMode="1"/>
  <dimension ref="A1:U17"/>
  <sheetViews>
    <sheetView workbookViewId="0">
      <selection activeCell="P22" sqref="P22"/>
    </sheetView>
  </sheetViews>
  <sheetFormatPr defaultRowHeight="15" x14ac:dyDescent="0.25"/>
  <sheetData>
    <row r="1" spans="1:21" x14ac:dyDescent="0.25">
      <c r="A1" t="s">
        <v>0</v>
      </c>
      <c r="B1" t="s">
        <v>12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8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</row>
    <row r="2" spans="1:21" hidden="1" x14ac:dyDescent="0.25">
      <c r="A2">
        <v>15</v>
      </c>
      <c r="B2">
        <v>30</v>
      </c>
      <c r="K2" s="1">
        <v>44855.37701866898</v>
      </c>
    </row>
    <row r="3" spans="1:21" x14ac:dyDescent="0.25">
      <c r="A3">
        <v>16</v>
      </c>
      <c r="B3">
        <v>30</v>
      </c>
      <c r="C3" t="s">
        <v>30</v>
      </c>
      <c r="D3">
        <v>5</v>
      </c>
      <c r="E3" t="s">
        <v>36</v>
      </c>
      <c r="F3">
        <v>1</v>
      </c>
      <c r="G3" t="s">
        <v>32</v>
      </c>
      <c r="H3">
        <v>4</v>
      </c>
      <c r="I3" t="s">
        <v>33</v>
      </c>
      <c r="J3">
        <v>1</v>
      </c>
      <c r="K3" s="1">
        <v>44855.37724804398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1</v>
      </c>
    </row>
    <row r="4" spans="1:21" hidden="1" x14ac:dyDescent="0.25">
      <c r="A4">
        <v>10</v>
      </c>
      <c r="B4">
        <v>31</v>
      </c>
      <c r="K4" s="1">
        <v>44855.375791886574</v>
      </c>
    </row>
    <row r="5" spans="1:21" x14ac:dyDescent="0.25">
      <c r="A5">
        <v>11</v>
      </c>
      <c r="B5">
        <v>31</v>
      </c>
      <c r="C5" t="s">
        <v>34</v>
      </c>
      <c r="D5">
        <v>3</v>
      </c>
      <c r="E5" t="s">
        <v>35</v>
      </c>
      <c r="F5">
        <v>5</v>
      </c>
      <c r="G5" t="s">
        <v>29</v>
      </c>
      <c r="H5">
        <v>4</v>
      </c>
      <c r="I5" t="s">
        <v>31</v>
      </c>
      <c r="J5">
        <v>4</v>
      </c>
      <c r="K5" s="1">
        <v>44855.376089131947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1</v>
      </c>
      <c r="B6">
        <v>33</v>
      </c>
      <c r="K6" s="1">
        <v>44855.374644849537</v>
      </c>
    </row>
    <row r="7" spans="1:21" x14ac:dyDescent="0.25">
      <c r="A7">
        <v>2</v>
      </c>
      <c r="B7">
        <v>33</v>
      </c>
      <c r="C7" t="s">
        <v>34</v>
      </c>
      <c r="D7">
        <v>5</v>
      </c>
      <c r="E7" t="s">
        <v>29</v>
      </c>
      <c r="F7">
        <v>5</v>
      </c>
      <c r="G7" t="s">
        <v>31</v>
      </c>
      <c r="H7">
        <v>1</v>
      </c>
      <c r="I7" t="s">
        <v>35</v>
      </c>
      <c r="J7">
        <v>1</v>
      </c>
      <c r="K7" s="1">
        <v>44855.374779375001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U7">
        <f>J7</f>
        <v>1</v>
      </c>
    </row>
    <row r="8" spans="1:21" hidden="1" x14ac:dyDescent="0.25">
      <c r="A8">
        <v>6</v>
      </c>
      <c r="B8">
        <v>34</v>
      </c>
      <c r="K8" s="1">
        <v>44855.375594282406</v>
      </c>
    </row>
    <row r="9" spans="1:21" x14ac:dyDescent="0.25">
      <c r="A9">
        <v>14</v>
      </c>
      <c r="B9">
        <v>34</v>
      </c>
      <c r="C9" t="s">
        <v>33</v>
      </c>
      <c r="D9">
        <v>4</v>
      </c>
      <c r="E9" t="s">
        <v>32</v>
      </c>
      <c r="F9">
        <v>4</v>
      </c>
      <c r="G9" t="s">
        <v>36</v>
      </c>
      <c r="H9">
        <v>4</v>
      </c>
      <c r="I9" t="s">
        <v>30</v>
      </c>
      <c r="J9">
        <v>5</v>
      </c>
      <c r="K9" s="1">
        <v>44855.376270856483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5</v>
      </c>
    </row>
    <row r="10" spans="1:21" hidden="1" x14ac:dyDescent="0.25">
      <c r="A10">
        <v>9</v>
      </c>
      <c r="B10">
        <v>35</v>
      </c>
      <c r="K10" s="1">
        <v>44855.37576732639</v>
      </c>
    </row>
    <row r="11" spans="1:21" x14ac:dyDescent="0.25">
      <c r="A11">
        <v>13</v>
      </c>
      <c r="B11">
        <v>35</v>
      </c>
      <c r="C11" t="s">
        <v>29</v>
      </c>
      <c r="D11">
        <v>5</v>
      </c>
      <c r="E11" t="s">
        <v>34</v>
      </c>
      <c r="F11">
        <v>1</v>
      </c>
      <c r="G11" t="s">
        <v>35</v>
      </c>
      <c r="H11">
        <v>4</v>
      </c>
      <c r="I11" t="s">
        <v>31</v>
      </c>
      <c r="J11">
        <v>5</v>
      </c>
      <c r="K11" s="1">
        <v>44855.376125023147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2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4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3</v>
      </c>
      <c r="B12">
        <v>36</v>
      </c>
      <c r="K12" s="1">
        <v>44855.375092581016</v>
      </c>
    </row>
    <row r="13" spans="1:21" x14ac:dyDescent="0.25">
      <c r="A13">
        <v>5</v>
      </c>
      <c r="B13">
        <v>36</v>
      </c>
      <c r="C13" t="s">
        <v>33</v>
      </c>
      <c r="D13">
        <v>4</v>
      </c>
      <c r="E13" t="s">
        <v>30</v>
      </c>
      <c r="F13">
        <v>1</v>
      </c>
      <c r="G13" t="s">
        <v>36</v>
      </c>
      <c r="H13">
        <v>2</v>
      </c>
      <c r="I13" t="s">
        <v>32</v>
      </c>
      <c r="J13">
        <v>3</v>
      </c>
      <c r="K13" s="1">
        <v>44855.375381261576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7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U13">
        <f>J13</f>
        <v>3</v>
      </c>
    </row>
    <row r="14" spans="1:21" hidden="1" x14ac:dyDescent="0.25">
      <c r="A14">
        <v>4</v>
      </c>
      <c r="B14">
        <v>37</v>
      </c>
      <c r="K14" s="1">
        <v>44855.37532525463</v>
      </c>
    </row>
    <row r="15" spans="1:21" x14ac:dyDescent="0.25">
      <c r="A15">
        <v>7</v>
      </c>
      <c r="B15">
        <v>37</v>
      </c>
      <c r="C15" t="s">
        <v>34</v>
      </c>
      <c r="D15">
        <v>4</v>
      </c>
      <c r="E15" t="s">
        <v>35</v>
      </c>
      <c r="F15">
        <v>4</v>
      </c>
      <c r="G15" t="s">
        <v>29</v>
      </c>
      <c r="H15">
        <v>3</v>
      </c>
      <c r="I15" t="s">
        <v>31</v>
      </c>
      <c r="J15">
        <v>5</v>
      </c>
      <c r="K15" s="1">
        <v>44855.37568138889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8</v>
      </c>
      <c r="B16">
        <v>38</v>
      </c>
      <c r="K16" s="1">
        <v>44855.375696076386</v>
      </c>
    </row>
    <row r="17" spans="1:21" x14ac:dyDescent="0.25">
      <c r="A17">
        <v>12</v>
      </c>
      <c r="B17">
        <v>38</v>
      </c>
      <c r="C17" t="s">
        <v>30</v>
      </c>
      <c r="D17">
        <v>2</v>
      </c>
      <c r="E17" t="s">
        <v>36</v>
      </c>
      <c r="F17">
        <v>2</v>
      </c>
      <c r="G17" t="s">
        <v>32</v>
      </c>
      <c r="H17">
        <v>5</v>
      </c>
      <c r="I17" t="s">
        <v>33</v>
      </c>
      <c r="J17">
        <v>4</v>
      </c>
      <c r="K17" s="1">
        <v>44855.376110555553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2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</sheetData>
  <autoFilter ref="A1:K17" xr:uid="{78071234-A0C4-40B4-B5D7-EA0E67DC472E}">
    <filterColumn colId="2">
      <customFilters>
        <customFilter operator="notEqual" val=" "/>
      </customFilters>
    </filterColumn>
    <sortState ref="A2:K1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Choices menus</vt:lpstr>
      <vt:lpstr>Logic test</vt:lpstr>
      <vt:lpstr>Utenti bambini</vt:lpstr>
      <vt:lpstr>Legenda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2023-06-22T10:02:03Z</dcterms:modified>
</cp:coreProperties>
</file>